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55A76F41-975E-43BC-B80E-30EF314342A5}" xr6:coauthVersionLast="47" xr6:coauthVersionMax="47" xr10:uidLastSave="{00000000-0000-0000-0000-000000000000}"/>
  <bookViews>
    <workbookView xWindow="-120" yWindow="-120" windowWidth="29040" windowHeight="15840" firstSheet="3" activeTab="5" xr2:uid="{06FE5760-65FE-48A1-A895-CC350D9C2D98}"/>
  </bookViews>
  <sheets>
    <sheet name="Player_Game_Stats" sheetId="4" state="hidden" r:id="rId1"/>
    <sheet name="Chart AVG cash out" sheetId="26" r:id="rId2"/>
    <sheet name="Chart of League Points 2026" sheetId="29" r:id="rId3"/>
    <sheet name="Chart League Payments 2026" sheetId="34" r:id="rId4"/>
    <sheet name="Chart of Hosts" sheetId="28" r:id="rId5"/>
    <sheet name="Champions League Payment 2026" sheetId="12" r:id="rId6"/>
    <sheet name="qry_Players" sheetId="21" r:id="rId7"/>
    <sheet name="qry_Game_Number" sheetId="22" r:id="rId8"/>
    <sheet name="qry_Player_Game_Stats_2026" sheetId="23" r:id="rId9"/>
    <sheet name="Top 10 per player for 2025 and " sheetId="24" r:id="rId10"/>
    <sheet name="Players Top 10 for 2026" sheetId="30" r:id="rId11"/>
    <sheet name="List of Cashouts per player for" sheetId="31" r:id="rId12"/>
    <sheet name="qry_Player_Game_Stats" sheetId="32" r:id="rId13"/>
    <sheet name="Sum of ROI" sheetId="33" r:id="rId14"/>
  </sheets>
  <definedNames>
    <definedName name="_xlcn.WorksheetConnection_PokerLeague2026.xlsmList_of_Cashouts_per_player_for_2026" hidden="1">List_of_Cashouts_per_player_for_2026[]</definedName>
    <definedName name="_xlcn.WorksheetConnection_PokerLeague2026.xlsmqry_Players" hidden="1">qry_Players[]</definedName>
    <definedName name="ExternalData_1" localSheetId="0" hidden="1">Player_Game_Stats!$A$1:$E$58</definedName>
    <definedName name="ExternalData_1" localSheetId="12" hidden="1">qry_Player_Game_Stats!$A$1:$G$102</definedName>
    <definedName name="ExternalData_1" localSheetId="6" hidden="1">qry_Players!$A$1:$B$13</definedName>
    <definedName name="ExternalData_2" localSheetId="10" hidden="1">'Players Top 10 for 2026'!$A$1:$E$11</definedName>
    <definedName name="ExternalData_2" localSheetId="7" hidden="1">qry_Game_Number!$A$1:$D$15</definedName>
    <definedName name="ExternalData_3" localSheetId="11" hidden="1">'List of Cashouts per player for'!$A$1:$F$53</definedName>
    <definedName name="ExternalData_3" localSheetId="8" hidden="1">qry_Player_Game_Stats_2026!$A$1:$H$53</definedName>
    <definedName name="ExternalData_4" localSheetId="9" hidden="1">'Top 10 per player for 2025 and '!$A$1:$E$11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  <extLst>
    <ext xmlns:x15="http://schemas.microsoft.com/office/spreadsheetml/2010/11/main" uri="{841E416B-1EF1-43b6-AB56-02D37102CBD5}">
      <x15:pivotCaches>
        <pivotCache cacheId="7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List of Cashouts per player for 2026_6623f430-c39e-4320-b93f-a10596031cc6" name="List of Cashouts per player for 2026" connection="Query - List of Cashouts per player for 2026"/>
          <x15:modelTable id="qry_Top 10 Cash outs 2026_f5f2f513-9822-4c62-9ebc-fe21946e224a" name="qry_Top 10 Cash outs 2026" connection="Query - qry_Top 10 Cash outs 2026"/>
          <x15:modelTable id="qry_Players" name="qry_Players" connection="WorksheetConnection_Poker League 2026.xlsm!qry_Players"/>
          <x15:modelTable id="List_of_Cashouts_per_player_for_2026" name="List_of_Cashouts_per_player_for_2026" connection="WorksheetConnection_Poker League 2026.xlsm!List_of_Cashouts_per_player_for_2026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23" l="1"/>
  <c r="D54" i="23"/>
  <c r="E54" i="23"/>
  <c r="F54" i="23"/>
  <c r="G54" i="23"/>
  <c r="H54" i="23"/>
  <c r="C103" i="32"/>
  <c r="D103" i="32"/>
  <c r="E103" i="32"/>
  <c r="F103" i="32"/>
  <c r="D54" i="31"/>
  <c r="E54" i="31"/>
  <c r="F54" i="31"/>
  <c r="C12" i="24"/>
  <c r="D12" i="24"/>
  <c r="E12" i="24"/>
  <c r="C56" i="12"/>
  <c r="C57" i="12"/>
  <c r="C58" i="12"/>
  <c r="C59" i="12"/>
  <c r="C60" i="12"/>
  <c r="C61" i="12"/>
  <c r="C62" i="12"/>
  <c r="C63" i="12"/>
  <c r="C64" i="12"/>
  <c r="C55" i="12"/>
  <c r="D65" i="12"/>
  <c r="B65" i="12"/>
  <c r="O38" i="23"/>
  <c r="O37" i="23"/>
  <c r="O36" i="23"/>
  <c r="O35" i="23"/>
  <c r="O34" i="23"/>
  <c r="O33" i="23"/>
  <c r="O32" i="23"/>
  <c r="O31" i="23"/>
  <c r="O30" i="23"/>
  <c r="O29" i="23"/>
  <c r="O39" i="23" l="1"/>
  <c r="P29" i="23"/>
  <c r="P30" i="23"/>
  <c r="P31" i="23"/>
  <c r="P32" i="23"/>
  <c r="P33" i="23"/>
  <c r="P34" i="23"/>
  <c r="P35" i="23"/>
  <c r="P36" i="23"/>
  <c r="P37" i="23"/>
  <c r="P38" i="23"/>
  <c r="C65" i="12"/>
  <c r="E15" i="12"/>
  <c r="P39" i="23" l="1"/>
  <c r="P15" i="12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06EA6D7-737F-4210-A192-865D67569789}" keepAlive="1" name="ModelConnection_ExternalData_11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10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11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12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3" xr16:uid="{2085CCBE-1A28-4F04-BE35-C82628401B5E}" name="Query - qry_Top 10 Cash outs 2026" description="Connection to the 'qry_Top 10 Cash outs 2026' query in the workbook." type="100" refreshedVersion="8" minRefreshableVersion="5">
    <extLst>
      <ext xmlns:x15="http://schemas.microsoft.com/office/spreadsheetml/2010/11/main" uri="{DE250136-89BD-433C-8126-D09CA5730AF9}">
        <x15:connection id="6c87fad5-4e58-41a8-8657-cd2e52f37654"/>
      </ext>
    </extLst>
  </connection>
  <connection id="14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5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9CE26CED-6068-4465-902F-4B15F87CB6BC}" name="WorksheetConnection_Poker League 2026.xlsm!List_of_Cashouts_per_player_for_2026" type="102" refreshedVersion="8" minRefreshableVersion="5">
    <extLst>
      <ext xmlns:x15="http://schemas.microsoft.com/office/spreadsheetml/2010/11/main" uri="{DE250136-89BD-433C-8126-D09CA5730AF9}">
        <x15:connection id="List_of_Cashouts_per_player_for_2026">
          <x15:rangePr sourceName="_xlcn.WorksheetConnection_PokerLeague2026.xlsmList_of_Cashouts_per_player_for_2026"/>
        </x15:connection>
      </ext>
    </extLst>
  </connection>
  <connection id="17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"/>
        </x15:connection>
      </ext>
    </extLst>
  </connection>
</connections>
</file>

<file path=xl/sharedStrings.xml><?xml version="1.0" encoding="utf-8"?>
<sst xmlns="http://schemas.openxmlformats.org/spreadsheetml/2006/main" count="470" uniqueCount="82">
  <si>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</si>
  <si>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</si>
  <si>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</si>
  <si>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</si>
  <si>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</si>
  <si>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</si>
  <si>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</si>
  <si>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</si>
  <si>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</si>
  <si>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</si>
  <si>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</si>
  <si>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</si>
  <si>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</si>
  <si>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</si>
  <si>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</si>
  <si>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</si>
  <si>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</si>
  <si>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</si>
  <si>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</si>
  <si>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</si>
  <si>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</si>
  <si>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</si>
  <si>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</si>
  <si>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</si>
  <si>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</si>
  <si>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</si>
  <si>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</si>
  <si>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</si>
  <si>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</si>
  <si>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</si>
  <si>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</si>
  <si>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</si>
  <si>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</si>
  <si>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</si>
  <si>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</si>
  <si>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</si>
  <si>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</si>
  <si>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</si>
  <si>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</si>
  <si>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</si>
  <si>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</si>
  <si>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</si>
  <si>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</si>
  <si>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</si>
  <si>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</si>
  <si>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</si>
  <si>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</si>
  <si>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</si>
  <si>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</si>
  <si>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</si>
  <si>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</si>
  <si>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</si>
  <si>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</si>
  <si>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</si>
  <si>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</si>
  <si>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</si>
  <si>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</si>
  <si>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</si>
  <si>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</si>
  <si>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</si>
  <si>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</si>
  <si>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</si>
  <si>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</si>
  <si>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</si>
  <si>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</si>
  <si>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</si>
  <si>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</si>
  <si>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</si>
  <si>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</si>
  <si>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</si>
  <si>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</si>
  <si>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</si>
  <si>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</si>
  <si>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</si>
  <si>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</si>
  <si>
    <t>23/04/2026</t>
  </si>
  <si>
    <t>Count of Games Played</t>
  </si>
  <si>
    <t>Average League Points</t>
  </si>
  <si>
    <t>Projected League Points</t>
  </si>
  <si>
    <t>22/05/2026</t>
  </si>
  <si>
    <t>Man Of the Match</t>
  </si>
  <si>
    <t>12/06/2026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</si>
</sst>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#,##0.00;\-&quot;€&quot;#,##0.00"/>
    <numFmt numFmtId="164" formatCode="&quot;€&quot;#,##0.00"/>
    <numFmt numFmtId="165" formatCode="0_ ;\-0\ "/>
    <numFmt numFmtId="166" formatCode="[$-1809]d\ mmmm\ yyyy;@"/>
    <numFmt numFmtId="167" formatCode="#,##0_ ;\-#,##0\ 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166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10" fontId="5" fillId="0" borderId="4" xfId="0" applyNumberFormat="1" applyFont="1" applyBorder="1"/>
    <xf numFmtId="164" fontId="5" fillId="0" borderId="4" xfId="0" applyNumberFormat="1" applyFont="1" applyBorder="1"/>
    <xf numFmtId="0" fontId="5" fillId="0" borderId="0" xfId="0" applyFont="1" applyAlignment="1">
      <alignment horizontal="left"/>
    </xf>
    <xf numFmtId="2" fontId="0" fillId="0" borderId="0" xfId="0" applyNumberFormat="1"/>
    <xf numFmtId="0" fontId="2" fillId="0" borderId="0" xfId="0" applyFont="1"/>
    <xf numFmtId="0" fontId="0" fillId="2" borderId="1" xfId="0" applyFill="1" applyBorder="1"/>
    <xf numFmtId="164" fontId="0" fillId="2" borderId="1" xfId="0" applyNumberFormat="1" applyFill="1" applyBorder="1"/>
    <xf numFmtId="14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/>
    <xf numFmtId="3" fontId="0" fillId="0" borderId="1" xfId="0" applyNumberFormat="1" applyBorder="1"/>
    <xf numFmtId="0" fontId="5" fillId="0" borderId="0" xfId="0" applyFont="1"/>
    <xf numFmtId="0" fontId="0" fillId="0" borderId="5" xfId="0" applyBorder="1"/>
    <xf numFmtId="164" fontId="0" fillId="0" borderId="5" xfId="0" applyNumberFormat="1" applyBorder="1"/>
    <xf numFmtId="164" fontId="5" fillId="0" borderId="1" xfId="0" applyNumberFormat="1" applyFont="1" applyBorder="1"/>
    <xf numFmtId="0" fontId="4" fillId="3" borderId="1" xfId="0" applyFont="1" applyFill="1" applyBorder="1" applyAlignment="1">
      <alignment horizontal="center" vertical="justify" wrapText="1"/>
    </xf>
    <xf numFmtId="14" fontId="4" fillId="3" borderId="1" xfId="0" applyNumberFormat="1" applyFont="1" applyFill="1" applyBorder="1" applyAlignment="1">
      <alignment horizontal="center" vertical="justify" wrapText="1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114"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9" formatCode="dd/mm/yyyy"/>
    </dxf>
    <dxf>
      <numFmt numFmtId="0" formatCode="General"/>
    </dxf>
    <dxf>
      <font>
        <b/>
      </font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right style="thin">
          <color indexed="64"/>
        </right>
        <top style="thin">
          <color indexed="64"/>
        </top>
      </border>
    </dxf>
    <dxf>
      <border>
        <right style="thin">
          <color indexed="64"/>
        </right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67" formatCode="#,##0_ ;\-#,##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3" Type="http://schemas.openxmlformats.org/officeDocument/2006/relationships/chartsheet" Target="chartsheets/sheet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alcChain" Target="calcChain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" Type="http://schemas.openxmlformats.org/officeDocument/2006/relationships/chartsheet" Target="chartsheets/sheet4.xml"/><Relationship Id="rId15" Type="http://schemas.openxmlformats.org/officeDocument/2006/relationships/pivotCacheDefinition" Target="pivotCache/pivotCacheDefinition1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6.xml"/><Relationship Id="rId19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pivotCacheDefinition" Target="pivotCache/pivotCacheDefinition8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Morgan Mooney</c:v>
                </c:pt>
                <c:pt idx="3">
                  <c:v>Brendan Stevenson</c:v>
                </c:pt>
                <c:pt idx="4">
                  <c:v>Martin Hunter</c:v>
                </c:pt>
                <c:pt idx="5">
                  <c:v>Barry Hunter</c:v>
                </c:pt>
                <c:pt idx="6">
                  <c:v>Seamus Diver</c:v>
                </c:pt>
                <c:pt idx="7">
                  <c:v>Steven Black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62.857100000000003</c:v>
                </c:pt>
                <c:pt idx="1">
                  <c:v>62.142899999999997</c:v>
                </c:pt>
                <c:pt idx="2">
                  <c:v>50</c:v>
                </c:pt>
                <c:pt idx="3">
                  <c:v>44.5</c:v>
                </c:pt>
                <c:pt idx="4">
                  <c:v>43.214300000000001</c:v>
                </c:pt>
                <c:pt idx="5">
                  <c:v>37.857100000000003</c:v>
                </c:pt>
                <c:pt idx="6">
                  <c:v>37.142899999999997</c:v>
                </c:pt>
                <c:pt idx="7">
                  <c:v>37.142899999999997</c:v>
                </c:pt>
                <c:pt idx="8">
                  <c:v>30.5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qry_Player_Game_Stats_2026!$K$3:$K$13</c:f>
              <c:strCache>
                <c:ptCount val="10"/>
                <c:pt idx="0">
                  <c:v>Kevin Lee</c:v>
                </c:pt>
                <c:pt idx="1">
                  <c:v>Morgan Mooney</c:v>
                </c:pt>
                <c:pt idx="2">
                  <c:v>Barry Hunter</c:v>
                </c:pt>
                <c:pt idx="3">
                  <c:v>Martin Hunter</c:v>
                </c:pt>
                <c:pt idx="4">
                  <c:v>Ciaran Lynch</c:v>
                </c:pt>
                <c:pt idx="5">
                  <c:v>Brendan Stevenson</c:v>
                </c:pt>
                <c:pt idx="6">
                  <c:v>Mark Hunter</c:v>
                </c:pt>
                <c:pt idx="7">
                  <c:v>Steven Black</c:v>
                </c:pt>
                <c:pt idx="8">
                  <c:v>Seamus Diver</c:v>
                </c:pt>
                <c:pt idx="9">
                  <c:v>Ryan Mc Elchar</c:v>
                </c:pt>
              </c:strCache>
            </c:strRef>
          </c:cat>
          <c:val>
            <c:numRef>
              <c:f>qry_Player_Game_Stats_2026!$L$3:$L$13</c:f>
              <c:numCache>
                <c:formatCode>0_ ;\-0\ </c:formatCode>
                <c:ptCount val="10"/>
                <c:pt idx="0">
                  <c:v>24750</c:v>
                </c:pt>
                <c:pt idx="1">
                  <c:v>21750</c:v>
                </c:pt>
                <c:pt idx="2">
                  <c:v>18250</c:v>
                </c:pt>
                <c:pt idx="3">
                  <c:v>15500</c:v>
                </c:pt>
                <c:pt idx="4">
                  <c:v>13750</c:v>
                </c:pt>
                <c:pt idx="5">
                  <c:v>10500</c:v>
                </c:pt>
                <c:pt idx="6">
                  <c:v>10000</c:v>
                </c:pt>
                <c:pt idx="7">
                  <c:v>8500</c:v>
                </c:pt>
                <c:pt idx="8">
                  <c:v>5500</c:v>
                </c:pt>
                <c:pt idx="9">
                  <c:v>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Champions League Payments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Martin Hunter</c:v>
                </c:pt>
                <c:pt idx="1">
                  <c:v>Morgan Mooney</c:v>
                </c:pt>
                <c:pt idx="2">
                  <c:v>Barry Hunter</c:v>
                </c:pt>
                <c:pt idx="3">
                  <c:v>Kevin Lee</c:v>
                </c:pt>
                <c:pt idx="4">
                  <c:v>Brendan Stevenson</c:v>
                </c:pt>
                <c:pt idx="5">
                  <c:v>Ciaran Lynch</c:v>
                </c:pt>
                <c:pt idx="6">
                  <c:v>Ryan Mc Elchar</c:v>
                </c:pt>
                <c:pt idx="7">
                  <c:v>Steven Black</c:v>
                </c:pt>
                <c:pt idx="8">
                  <c:v>Mark Hunter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60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  <c:pt idx="5">
                  <c:v>40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5D2-AE84-327EFC1D2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9543"/>
        <c:axId val="16140623"/>
        <c:axId val="0"/>
      </c:bar3DChart>
      <c:catAx>
        <c:axId val="16139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0623"/>
        <c:crosses val="autoZero"/>
        <c:auto val="1"/>
        <c:lblAlgn val="ctr"/>
        <c:lblOffset val="100"/>
        <c:noMultiLvlLbl val="0"/>
      </c:catAx>
      <c:valAx>
        <c:axId val="1614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9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Morgan Mooney</c:v>
              </c:pt>
              <c:pt idx="2">
                <c:v>Kevin Lee</c:v>
              </c:pt>
              <c:pt idx="3">
                <c:v>Ciaran Lynch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4</c:v>
              </c:pt>
              <c:pt idx="1">
                <c:v>3</c:v>
              </c:pt>
              <c:pt idx="2">
                <c:v>3</c:v>
              </c:pt>
              <c:pt idx="3">
                <c:v>2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ROI'!$A$2:$A$12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Morgan Mooney</c:v>
                </c:pt>
                <c:pt idx="4">
                  <c:v>Brendan Stevenson</c:v>
                </c:pt>
                <c:pt idx="5">
                  <c:v>Seamus Diver</c:v>
                </c:pt>
                <c:pt idx="6">
                  <c:v>Barry Hunter</c:v>
                </c:pt>
                <c:pt idx="7">
                  <c:v>Steven Black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'Sum of ROI'!$B$2:$B$12</c:f>
              <c:numCache>
                <c:formatCode>"€"#,##0.00</c:formatCode>
                <c:ptCount val="10"/>
                <c:pt idx="0">
                  <c:v>220</c:v>
                </c:pt>
                <c:pt idx="1">
                  <c:v>125</c:v>
                </c:pt>
                <c:pt idx="2">
                  <c:v>85</c:v>
                </c:pt>
                <c:pt idx="3">
                  <c:v>15</c:v>
                </c:pt>
                <c:pt idx="4">
                  <c:v>-15</c:v>
                </c:pt>
                <c:pt idx="5">
                  <c:v>-50</c:v>
                </c:pt>
                <c:pt idx="6">
                  <c:v>-60</c:v>
                </c:pt>
                <c:pt idx="7">
                  <c:v>-80</c:v>
                </c:pt>
                <c:pt idx="8">
                  <c:v>-95</c:v>
                </c:pt>
                <c:pt idx="9">
                  <c:v>-195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D3FD93-F445-4354-8685-C1C1BC4AB3C6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0402F-BFB2-D991-8A4B-E286D656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571501</xdr:colOff>
      <xdr:row>0</xdr:row>
      <xdr:rowOff>114298</xdr:rowOff>
    </xdr:from>
    <xdr:to>
      <xdr:col>19</xdr:col>
      <xdr:colOff>466725</xdr:colOff>
      <xdr:row>31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591898147" backgroundQuery="1" createdVersion="8" refreshedVersion="8" minRefreshableVersion="3" recordCount="0" supportSubquery="1" supportAdvancedDrill="1" xr:uid="{E4BDBF98-5744-4B26-8916-935C3AE37C2D}">
  <cacheSource type="external" connectionId="15"/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60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593055556" backgroundQuery="1" createdVersion="8" refreshedVersion="8" minRefreshableVersion="3" recordCount="0" supportSubquery="1" supportAdvancedDrill="1" xr:uid="{9244E601-3B5E-41EC-9E95-CFA8F1ACEC12}">
  <cacheSource type="external" connectionId="15"/>
  <cacheFields count="3">
    <cacheField name="[List of Cashouts per player for 2026].[Player_Name].[Player_Name]" caption="Player_Name" numFmtId="0" hierarchy="1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5-23T00:00:00" count="7">
        <d v="2026-01-02T00:00:00"/>
        <d v="2026-01-23T00:00:00"/>
        <d v="2026-02-13T00:00:00"/>
        <d v="2026-03-06T00:00:00"/>
        <d v="2026-04-03T00:00:00"/>
        <d v="2026-04-24T00:00:00"/>
        <d v="2026-05-22T00:00:00"/>
      </sharedItems>
    </cacheField>
    <cacheField name="[Measures].[Sum of League Points 2]" caption="Sum of League Points 2" numFmtId="0" hierarchy="63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603819447" backgroundQuery="1" createdVersion="8" refreshedVersion="8" minRefreshableVersion="3" recordCount="0" supportSubquery="1" supportAdvancedDrill="1" xr:uid="{F17423D0-4FA3-4356-8BFA-E77ECF6FBB26}">
  <cacheSource type="external" connectionId="15"/>
  <cacheFields count="2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 Points]" caption="Sum of League Points" numFmtId="0" hierarchy="58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605324072" backgroundQuery="1" createdVersion="8" refreshedVersion="8" minRefreshableVersion="3" recordCount="0" supportSubquery="1" supportAdvancedDrill="1" xr:uid="{6509EC4A-8CCE-4F75-BB47-B11EA45ABF09}">
  <cacheSource type="external" connectionId="15"/>
  <cacheFields count="4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ROI]" caption="Sum of ROI" numFmtId="0" hierarchy="61" level="32767"/>
    <cacheField name="[Measures].[Count of Game_ID]" caption="Count of Game_ID" numFmtId="0" hierarchy="66" level="32767"/>
    <cacheField name="[Measures].[Sum of League Points]" caption="Sum of League Points" numFmtId="0" hierarchy="58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65.51560914352" createdVersion="8" refreshedVersion="8" minRefreshableVersion="3" recordCount="101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4"/>
    </cacheField>
    <cacheField name="Player_No" numFmtId="0">
      <sharedItems containsSemiMixedTypes="0" containsString="0" containsNumber="1" containsInteger="1" minValue="1" maxValue="12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60"/>
    </cacheField>
    <cacheField name="ROI" numFmtId="164">
      <sharedItems containsSemiMixedTypes="0" containsString="0" containsNumber="1" containsInteger="1" minValue="-70" maxValue="110"/>
    </cacheField>
    <cacheField name="qry_Players.Player_Name" numFmtId="0">
      <sharedItems count="10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65.515609606482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Ciaran Lynch"/>
        <s v="Morgan Mooney"/>
        <s v="Brendan Stevenson"/>
        <s v="Martin Hunter"/>
        <s v="Barry Hunter"/>
        <s v="Steven Black"/>
        <s v="Seamus Diver"/>
        <s v="Mark Hunter"/>
        <s v="Ryan Mc Elchar"/>
      </sharedItems>
    </cacheField>
    <cacheField name="Total_Cash_Out" numFmtId="164">
      <sharedItems containsSemiMixedTypes="0" containsString="0" containsNumber="1" containsInteger="1" minValue="35" maxValue="880"/>
    </cacheField>
    <cacheField name="Games_Played" numFmtId="0">
      <sharedItems containsSemiMixedTypes="0" containsString="0" containsNumber="1" containsInteger="1" minValue="5" maxValue="14"/>
    </cacheField>
    <cacheField name="Average Cash Per Game 2025 - 2026" numFmtId="164">
      <sharedItems containsSemiMixedTypes="0" containsString="0" containsNumber="1" minValue="7" maxValue="62.8571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65.516852199071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23/04/2026" numFmtId="164">
      <sharedItems containsString="0" containsBlank="1" containsNumber="1" containsInteger="1" minValue="10" maxValue="10"/>
    </cacheField>
    <cacheField name="22/05/2026" numFmtId="164">
      <sharedItems containsString="0" containsBlank="1" containsNumber="1" containsInteger="1" minValue="10" maxValue="20"/>
    </cacheField>
    <cacheField name="Week7" numFmtId="164">
      <sharedItems containsNonDate="0" containsString="0" containsBlank="1"/>
    </cacheField>
    <cacheField name="Week8" numFmtId="164">
      <sharedItems containsNonDate="0" containsString="0" containsBlank="1"/>
    </cacheField>
    <cacheField name="Week9" numFmtId="164">
      <sharedItems containsNonDate="0" containsString="0" containsBlank="1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594328703" backgroundQuery="1" createdVersion="8" refreshedVersion="8" minRefreshableVersion="3" recordCount="0" supportSubquery="1" supportAdvancedDrill="1" xr:uid="{3A8CCDDE-B061-4CDC-88D8-29F8A9478A8E}">
  <cacheSource type="external" connectionId="15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60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n v="1"/>
    <n v="1"/>
    <n v="30"/>
    <n v="20"/>
    <n v="50"/>
    <n v="0"/>
    <x v="0"/>
  </r>
  <r>
    <n v="2"/>
    <n v="1"/>
    <n v="30"/>
    <n v="0"/>
    <n v="25"/>
    <n v="-5"/>
    <x v="0"/>
  </r>
  <r>
    <n v="1"/>
    <n v="2"/>
    <n v="30"/>
    <n v="0"/>
    <n v="105"/>
    <n v="75"/>
    <x v="1"/>
  </r>
  <r>
    <n v="2"/>
    <n v="2"/>
    <n v="30"/>
    <n v="0"/>
    <n v="55"/>
    <n v="25"/>
    <x v="1"/>
  </r>
  <r>
    <n v="1"/>
    <n v="3"/>
    <n v="30"/>
    <n v="20"/>
    <n v="40"/>
    <n v="-10"/>
    <x v="2"/>
  </r>
  <r>
    <n v="2"/>
    <n v="3"/>
    <n v="30"/>
    <n v="20"/>
    <n v="30"/>
    <n v="-20"/>
    <x v="2"/>
  </r>
  <r>
    <n v="1"/>
    <n v="4"/>
    <n v="30"/>
    <n v="0"/>
    <n v="20"/>
    <n v="-10"/>
    <x v="3"/>
  </r>
  <r>
    <n v="2"/>
    <n v="4"/>
    <n v="30"/>
    <n v="20"/>
    <n v="25"/>
    <n v="-25"/>
    <x v="3"/>
  </r>
  <r>
    <n v="1"/>
    <n v="5"/>
    <n v="30"/>
    <n v="20"/>
    <n v="25"/>
    <n v="-25"/>
    <x v="4"/>
  </r>
  <r>
    <n v="2"/>
    <n v="5"/>
    <n v="30"/>
    <n v="20"/>
    <n v="0"/>
    <n v="-50"/>
    <x v="4"/>
  </r>
  <r>
    <n v="1"/>
    <n v="6"/>
    <n v="30"/>
    <n v="0"/>
    <n v="0"/>
    <n v="-30"/>
    <x v="5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  <r>
    <n v="13"/>
    <n v="1"/>
    <n v="30"/>
    <n v="20"/>
    <n v="100"/>
    <n v="50"/>
    <x v="0"/>
  </r>
  <r>
    <n v="13"/>
    <n v="3"/>
    <n v="30"/>
    <n v="20"/>
    <n v="65"/>
    <n v="15"/>
    <x v="2"/>
  </r>
  <r>
    <n v="13"/>
    <n v="4"/>
    <n v="30"/>
    <n v="20"/>
    <n v="45"/>
    <n v="-5"/>
    <x v="3"/>
  </r>
  <r>
    <n v="13"/>
    <n v="6"/>
    <n v="30"/>
    <n v="20"/>
    <n v="85"/>
    <n v="35"/>
    <x v="5"/>
  </r>
  <r>
    <n v="13"/>
    <n v="7"/>
    <n v="30"/>
    <n v="20"/>
    <n v="55"/>
    <n v="5"/>
    <x v="8"/>
  </r>
  <r>
    <n v="13"/>
    <n v="11"/>
    <n v="30"/>
    <n v="20"/>
    <n v="0"/>
    <n v="-50"/>
    <x v="7"/>
  </r>
  <r>
    <n v="13"/>
    <n v="12"/>
    <n v="30"/>
    <n v="20"/>
    <n v="0"/>
    <n v="-50"/>
    <x v="9"/>
  </r>
  <r>
    <n v="14"/>
    <n v="1"/>
    <n v="30"/>
    <n v="20"/>
    <n v="35"/>
    <n v="-15"/>
    <x v="0"/>
  </r>
  <r>
    <n v="14"/>
    <n v="3"/>
    <n v="30"/>
    <n v="20"/>
    <n v="80"/>
    <n v="30"/>
    <x v="2"/>
  </r>
  <r>
    <n v="14"/>
    <n v="4"/>
    <n v="30"/>
    <n v="20"/>
    <n v="65"/>
    <n v="15"/>
    <x v="3"/>
  </r>
  <r>
    <n v="14"/>
    <n v="5"/>
    <n v="30"/>
    <n v="20"/>
    <n v="160"/>
    <n v="110"/>
    <x v="4"/>
  </r>
  <r>
    <n v="14"/>
    <n v="7"/>
    <n v="30"/>
    <n v="20"/>
    <n v="0"/>
    <n v="-50"/>
    <x v="8"/>
  </r>
  <r>
    <n v="14"/>
    <n v="12"/>
    <n v="30"/>
    <n v="20"/>
    <n v="10"/>
    <n v="-40"/>
    <x v="9"/>
  </r>
  <r>
    <n v="14"/>
    <n v="6"/>
    <n v="30"/>
    <n v="20"/>
    <n v="0"/>
    <n v="-5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880"/>
    <n v="14"/>
    <n v="62.857100000000003"/>
  </r>
  <r>
    <n v="2"/>
    <x v="1"/>
    <n v="435"/>
    <n v="7"/>
    <n v="62.142899999999997"/>
  </r>
  <r>
    <n v="5"/>
    <x v="2"/>
    <n v="650"/>
    <n v="13"/>
    <n v="50"/>
  </r>
  <r>
    <n v="7"/>
    <x v="3"/>
    <n v="445"/>
    <n v="10"/>
    <n v="44.5"/>
  </r>
  <r>
    <n v="1"/>
    <x v="4"/>
    <n v="605"/>
    <n v="14"/>
    <n v="43.214300000000001"/>
  </r>
  <r>
    <n v="3"/>
    <x v="5"/>
    <n v="530"/>
    <n v="14"/>
    <n v="37.857100000000003"/>
  </r>
  <r>
    <n v="8"/>
    <x v="6"/>
    <n v="260"/>
    <n v="7"/>
    <n v="37.142899999999997"/>
  </r>
  <r>
    <n v="4"/>
    <x v="7"/>
    <n v="260"/>
    <n v="7"/>
    <n v="37.142899999999997"/>
  </r>
  <r>
    <n v="11"/>
    <x v="8"/>
    <n v="305"/>
    <n v="10"/>
    <n v="30.5"/>
  </r>
  <r>
    <n v="12"/>
    <x v="9"/>
    <n v="35"/>
    <n v="5"/>
    <n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n v="10"/>
    <n v="10"/>
    <m/>
    <m/>
    <m/>
    <m/>
    <m/>
    <m/>
    <m/>
    <m/>
    <n v="60"/>
  </r>
  <r>
    <n v="2"/>
    <x v="1"/>
    <n v="10"/>
    <n v="10"/>
    <n v="10"/>
    <n v="10"/>
    <m/>
    <m/>
    <m/>
    <m/>
    <m/>
    <m/>
    <m/>
    <m/>
    <m/>
    <m/>
    <n v="40"/>
  </r>
  <r>
    <n v="3"/>
    <x v="2"/>
    <n v="10"/>
    <n v="10"/>
    <n v="10"/>
    <m/>
    <m/>
    <n v="20"/>
    <m/>
    <m/>
    <m/>
    <m/>
    <m/>
    <m/>
    <m/>
    <m/>
    <n v="5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n v="10"/>
    <m/>
    <m/>
    <m/>
    <m/>
    <m/>
    <m/>
    <m/>
    <m/>
    <n v="50"/>
  </r>
  <r>
    <n v="6"/>
    <x v="5"/>
    <n v="10"/>
    <n v="10"/>
    <n v="10"/>
    <n v="10"/>
    <n v="10"/>
    <m/>
    <m/>
    <m/>
    <m/>
    <m/>
    <m/>
    <m/>
    <m/>
    <m/>
    <n v="50"/>
  </r>
  <r>
    <n v="7"/>
    <x v="6"/>
    <m/>
    <m/>
    <n v="10"/>
    <n v="10"/>
    <n v="10"/>
    <n v="10"/>
    <m/>
    <m/>
    <m/>
    <m/>
    <m/>
    <m/>
    <m/>
    <m/>
    <n v="40"/>
  </r>
  <r>
    <n v="8"/>
    <x v="7"/>
    <n v="10"/>
    <n v="10"/>
    <m/>
    <n v="10"/>
    <m/>
    <m/>
    <m/>
    <m/>
    <m/>
    <m/>
    <m/>
    <m/>
    <m/>
    <m/>
    <n v="3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n v="10"/>
    <n v="10"/>
    <m/>
    <m/>
    <m/>
    <m/>
    <m/>
    <m/>
    <m/>
    <m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7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4</x15:v>
          </x15:c>
        </x15:pivotRow>
        <x15:pivotRow count="1">
          <x15:c>
            <x15:v>3</x15:v>
          </x15:c>
        </x15:pivotRow>
        <x15:pivotRow count="1">
          <x15:c>
            <x15:v>3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14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6"/>
    </i>
    <i>
      <x v="7"/>
    </i>
    <i>
      <x/>
    </i>
    <i>
      <x v="4"/>
    </i>
    <i>
      <x v="1"/>
    </i>
    <i>
      <x v="3"/>
    </i>
    <i>
      <x v="9"/>
    </i>
    <i>
      <x v="11"/>
    </i>
    <i>
      <x v="5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" type="button" dataOnly="0" labelOnly="1" outline="0" axis="axisRow" fieldPosition="0"/>
    </format>
    <format dxfId="110">
      <pivotArea dataOnly="0" labelOnly="1" fieldPosition="0">
        <references count="1">
          <reference field="1" count="0"/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0" applyNumberFormats="0" applyBorderFormats="0" applyFontFormats="0" applyPatternFormats="0" applyAlignmentFormats="0" applyWidthHeightFormats="1" dataCaption="Values" tag="5b138cea-b3c4-4029-929f-3bd329d74e44" updatedVersion="8" minRefreshableVersion="3" useAutoFormatting="1" subtotalHiddenItems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0" type="button" dataOnly="0" labelOnly="1" outline="0" axis="axisRow" fieldPosition="0"/>
    </format>
    <format dxfId="62">
      <pivotArea dataOnly="0" labelOnly="1" fieldPosition="0">
        <references count="1">
          <reference field="0" count="0"/>
        </references>
      </pivotArea>
    </format>
    <format dxfId="61">
      <pivotArea dataOnly="0" labelOnly="1" grandRow="1" outline="0" fieldPosition="0"/>
    </format>
    <format dxfId="60">
      <pivotArea dataOnly="0" labelOnly="1" outline="0" axis="axisValues" fieldPosition="0"/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2" applyNumberFormats="0" applyBorderFormats="0" applyFontFormats="0" applyPatternFormats="0" applyAlignmentFormats="0" applyWidthHeightFormats="1" dataCaption="Values" tag="291156ff-b454-49f9-be10-3bbc0b5eb673" updatedVersion="8" minRefreshableVersion="3" useAutoFormatting="1" subtotalHiddenItems="1" itemPrintTitles="1" createdVersion="8" indent="0" outline="1" outlineData="1" multipleFieldFilters="0" chartFormat="8" rowHeaderCaption="Player">
  <location ref="K2:L13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6"/>
    </i>
    <i>
      <x/>
    </i>
    <i>
      <x v="5"/>
    </i>
    <i>
      <x v="2"/>
    </i>
    <i>
      <x v="1"/>
    </i>
    <i>
      <x v="4"/>
    </i>
    <i>
      <x v="9"/>
    </i>
    <i>
      <x v="8"/>
    </i>
    <i>
      <x v="7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72">
      <pivotArea outline="0" collapsedLevelsAreSubtotals="1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3" applyNumberFormats="0" applyBorderFormats="0" applyFontFormats="0" applyPatternFormats="0" applyAlignmentFormats="0" applyWidthHeightFormats="1" dataCaption="Values" tag="1ec23470-5531-4d71-9fd4-5a4824864a43" updatedVersion="8" minRefreshableVersion="3" useAutoFormatting="1" subtotalHiddenItems="1" itemPrintTitles="1" createdVersion="8" indent="0" outline="1" outlineData="1" multipleFieldFilters="0" rowHeaderCaption="Player">
  <location ref="K28:N39" firstHeaderRow="0" firstDataRow="1" firstDataCol="1"/>
  <pivotFields count="4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1">
    <i>
      <x v="3"/>
    </i>
    <i>
      <x v="6"/>
    </i>
    <i>
      <x v="2"/>
    </i>
    <i>
      <x v="9"/>
    </i>
    <i>
      <x/>
    </i>
    <i>
      <x v="5"/>
    </i>
    <i>
      <x v="8"/>
    </i>
    <i>
      <x v="1"/>
    </i>
    <i>
      <x v="4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OI" fld="1" baseField="0" baseItem="0"/>
    <dataField name="Count of Games Played" fld="2" subtotal="count" baseField="0" baseItem="4"/>
    <dataField name="Sum of League Points" fld="3" baseField="0" baseItem="0" numFmtId="167"/>
  </dataFields>
  <formats count="11"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  <format dxfId="78">
      <pivotArea dataOnly="0" labelOnly="1" outline="0" axis="axisValues" fieldPosition="0"/>
    </format>
    <format dxfId="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Games Played"/>
    <pivotHierarchy dragToData="1"/>
    <pivotHierarchy dragToData="1" caption="Average of League Points2"/>
  </pivotHierarchies>
  <pivotTableStyleInfo name="PivotStyleLight16" showRowHeaders="1" showColHeaders="1" showRowStripes="0" showColStripes="0" showLastColumn="1"/>
  <rowHierarchiesUsage count="1"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5"/>
        <item x="3"/>
        <item x="1"/>
        <item x="0"/>
        <item x="8"/>
        <item x="4"/>
        <item x="2"/>
        <item x="9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3"/>
    </i>
    <i>
      <x v="2"/>
    </i>
    <i>
      <x v="6"/>
    </i>
    <i>
      <x v="1"/>
    </i>
    <i>
      <x v="5"/>
    </i>
    <i>
      <x/>
    </i>
    <i>
      <x v="8"/>
    </i>
    <i>
      <x v="9"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V11" firstHeaderRow="1" firstDataRow="2" firstDataCol="1"/>
  <pivotFields count="3">
    <pivotField axis="axisCol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League Points" fld="2" baseField="0" baseItem="0"/>
  </dataFields>
  <formats count="1">
    <format dxfId="37">
      <pivotArea field="1" grandCol="1" collapsedLevelsAreSubtotals="1" axis="axisRow" fieldPosition="0">
        <references count="1">
          <reference field="1" count="0"/>
        </references>
      </pivotArea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1">
        <item x="2"/>
        <item x="8"/>
        <item x="1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1">
    <i>
      <x v="3"/>
    </i>
    <i>
      <x v="2"/>
    </i>
    <i>
      <x v="5"/>
    </i>
    <i>
      <x v="6"/>
    </i>
    <i>
      <x v="1"/>
    </i>
    <i>
      <x v="8"/>
    </i>
    <i>
      <x/>
    </i>
    <i>
      <x v="9"/>
    </i>
    <i>
      <x v="4"/>
    </i>
    <i>
      <x v="7"/>
    </i>
    <i t="grand">
      <x/>
    </i>
  </rowItems>
  <colItems count="1">
    <i/>
  </colItems>
  <dataFields count="1">
    <dataField name="Sum of ROI 2025 - 2026" fld="5" baseField="0" baseItem="0" numFmtId="164"/>
  </dataFields>
  <formats count="6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6" type="button" dataOnly="0" labelOnly="1" outline="0" axis="axisRow" fieldPosition="0"/>
    </format>
    <format dxfId="19">
      <pivotArea dataOnly="0" labelOnly="1" fieldPosition="0">
        <references count="1">
          <reference field="6" count="0"/>
        </references>
      </pivotArea>
    </format>
    <format dxfId="18">
      <pivotArea dataOnly="0" labelOnly="1" grandRow="1" outline="0" fieldPosition="0"/>
    </format>
    <format dxfId="1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33ADB37-BB34-4F18-B0DC-616C55AD419E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  <queryTableField id="5" dataBound="0" tableColumnId="5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C30EDB7-4CA0-4764-9E6D-B003624B2798}" autoFormatId="16" applyNumberFormats="0" applyBorderFormats="0" applyFontFormats="0" applyPatternFormats="0" applyAlignmentFormats="0" applyWidthHeightFormats="0">
  <queryTableRefresh nextId="8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name="ROI" tableColumnId="6"/>
      <queryTableField id="7" name="qry_Players.Player_Name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90"/>
    <tableColumn id="4" xr3:uid="{26E7DB68-E557-4F94-9F01-9B8FAF9E2C7A}" name="Rebuy" dataDxfId="89"/>
    <tableColumn id="5" xr3:uid="{CCEBB7B8-9EAF-4D13-BD62-7D8780EC8B72}" name="CashOut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>
    <filterColumn colId="0">
      <filters>
        <filter val="1"/>
        <filter val="11"/>
        <filter val="12"/>
        <filter val="2"/>
        <filter val="3"/>
        <filter val="5"/>
        <filter val="6"/>
        <filter val="7"/>
        <filter val="8"/>
      </filters>
    </filterColumn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tableColumns count="17">
    <tableColumn id="1" xr3:uid="{D9BB77C1-B153-4DC9-AB4F-46B073C9802C}" name="Player_No" totalsRowLabel="Total" dataDxfId="107" totalsRowDxfId="16"/>
    <tableColumn id="2" xr3:uid="{777EF35F-DF6E-4218-8A2E-886E76E5CCBF}" name="FullName" dataDxfId="106" totalsRowDxfId="15"/>
    <tableColumn id="3" xr3:uid="{C2740B49-3160-4717-B226-181C1BFF78F4}" name="23/01/2026" totalsRowFunction="sum" dataDxfId="105" totalsRowDxfId="14"/>
    <tableColumn id="4" xr3:uid="{ECC27581-19AC-4220-8CBF-ED38FD7613F3}" name="13/02/2026" totalsRowFunction="sum" dataDxfId="104" totalsRowDxfId="13"/>
    <tableColumn id="5" xr3:uid="{1308133D-F013-4CB9-A6ED-ACABF1D9D44B}" name="06/03/2026" totalsRowFunction="sum" dataDxfId="103" totalsRowDxfId="12"/>
    <tableColumn id="6" xr3:uid="{2A5C365C-7BD2-4724-A447-E6C35C83FCF9}" name="03/04/2026" totalsRowFunction="sum" dataDxfId="102" totalsRowDxfId="11"/>
    <tableColumn id="7" xr3:uid="{94C5C22F-4CEA-46F4-BADE-BDCEDCBC7A0E}" name="23/04/2026" totalsRowFunction="sum" dataDxfId="101" totalsRowDxfId="10"/>
    <tableColumn id="8" xr3:uid="{0563C163-E688-414A-B028-97E5FAA83B1A}" name="22/05/2026" totalsRowFunction="sum" dataDxfId="100" totalsRowDxfId="9"/>
    <tableColumn id="9" xr3:uid="{AF465F9B-4B17-4946-B60B-48283A067B48}" name="12/06/2026" totalsRowFunction="sum" dataDxfId="99" totalsRowDxfId="8"/>
    <tableColumn id="10" xr3:uid="{07DFEE1A-6A59-40BB-98D8-F4B2C60538C0}" name="Week8" totalsRowFunction="sum" dataDxfId="98" totalsRowDxfId="7"/>
    <tableColumn id="11" xr3:uid="{52995472-9E50-4339-B494-30FA1A3E031B}" name="Week9" totalsRowFunction="sum" dataDxfId="97" totalsRowDxfId="6"/>
    <tableColumn id="12" xr3:uid="{F6A60054-EC8B-4468-AE1F-13A57D8D744D}" name="Week10" totalsRowFunction="sum" dataDxfId="96" totalsRowDxfId="5"/>
    <tableColumn id="13" xr3:uid="{E56DC21D-A0AD-4E9E-A781-AA21C2EE660F}" name="Week11" totalsRowFunction="sum" dataDxfId="95" totalsRowDxfId="4"/>
    <tableColumn id="14" xr3:uid="{DAFF31BB-9E10-42AB-B2EB-E830295F96B8}" name="Week12" totalsRowFunction="sum" dataDxfId="94" totalsRowDxfId="3"/>
    <tableColumn id="15" xr3:uid="{62860BC6-8010-4BBD-8AA0-1980A660D7C5}" name="Week13" totalsRowFunction="sum" dataDxfId="93" totalsRowDxfId="2"/>
    <tableColumn id="16" xr3:uid="{B099F725-2C0B-4BC3-A1F0-AF4779A32745}" name="Week14" totalsRowFunction="sum" dataDxfId="92" totalsRowDxfId="1"/>
    <tableColumn id="17" xr3:uid="{E32710AA-A898-4781-8951-0A1B27E2A2A0}" name="Total" totalsRowFunction="sum" dataDxfId="91" totalsRowDxfId="0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8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E15" tableType="queryTable" totalsRowShown="0">
  <autoFilter ref="A1:E15" xr:uid="{6620946A-8040-42A9-ACB5-AD95B625A6A2}"/>
  <sortState xmlns:xlrd2="http://schemas.microsoft.com/office/spreadsheetml/2017/richdata2" ref="A2:D15">
    <sortCondition ref="B1:B15"/>
  </sortState>
  <tableColumns count="5">
    <tableColumn id="1" xr3:uid="{18B19D20-0C7C-4AE6-A7B4-B2E0A1501C15}" uniqueName="1" name="Game_ID" queryTableFieldId="1"/>
    <tableColumn id="2" xr3:uid="{B459EE32-961A-4596-A17C-089AA212CEE8}" uniqueName="2" name="Game_Date" queryTableFieldId="2" dataDxfId="86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85"/>
    <tableColumn id="5" xr3:uid="{0621F2C3-7895-420F-BCED-8A76F15284BB}" uniqueName="5" name="Man Of the Match" queryTableFieldId="5" dataDxfId="8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54" tableType="queryTable" totalsRowCount="1">
  <autoFilter ref="A1:H53" xr:uid="{EDB0D924-0B8C-42F1-8E9A-9B99F6276E5B}"/>
  <sortState xmlns:xlrd2="http://schemas.microsoft.com/office/spreadsheetml/2017/richdata2" ref="A2:H53">
    <sortCondition ref="A1:A53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totalsRowFunction="count" queryTableFieldId="8" dataDxfId="59"/>
    <tableColumn id="3" xr3:uid="{04414F35-634B-41DF-9DF1-62B443DA2025}" uniqueName="3" name="BuyIn" totalsRowFunction="sum" queryTableFieldId="3" dataDxfId="58" totalsRowDxfId="57"/>
    <tableColumn id="4" xr3:uid="{F3ECD1C4-26E9-4247-A1FC-C2CAFBAE328B}" uniqueName="4" name="Rebuy" totalsRowFunction="sum" queryTableFieldId="4" dataDxfId="56" totalsRowDxfId="55"/>
    <tableColumn id="5" xr3:uid="{07C8CD74-13B3-4953-BFD0-31CAA114E296}" uniqueName="5" name="CashOut" totalsRowFunction="sum" queryTableFieldId="5" dataDxfId="54" totalsRowDxfId="53"/>
    <tableColumn id="6" xr3:uid="{5BA02402-BB08-4C55-8C36-F7FF8CB1F212}" uniqueName="6" name="League Points" totalsRowFunction="sum" queryTableFieldId="6"/>
    <tableColumn id="7" xr3:uid="{8738C0A6-8EFB-4DD4-B8AF-B8CD842020F7}" uniqueName="7" name="ROI" totalsRowFunction="sum" queryTableFieldId="7" dataDxfId="52" totalsRowDxfId="5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sortState xmlns:xlrd2="http://schemas.microsoft.com/office/spreadsheetml/2017/richdata2" ref="A2:E11">
    <sortCondition descending="1" ref="E1:E11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44"/>
    <tableColumn id="3" xr3:uid="{BCCB1BF0-5D2E-4392-9048-E7C6373F9DC5}" uniqueName="3" name="Total_Cash_Out" totalsRowFunction="average" queryTableFieldId="3" dataDxfId="43" totalsRowDxfId="42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41" totalsRow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1" tableType="queryTable" totalsRowShown="0">
  <autoFilter ref="A1:E11" xr:uid="{F39F1E7C-0A1F-42AB-B9F2-915DFAD694D1}"/>
  <sortState xmlns:xlrd2="http://schemas.microsoft.com/office/spreadsheetml/2017/richdata2" ref="A2:E11">
    <sortCondition descending="1" ref="E1:E11"/>
  </sortState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39"/>
    <tableColumn id="3" xr3:uid="{56E78875-AD39-46FB-8A01-FA8BE36D52D9}" uniqueName="3" name="Total_Cashout" queryTableFieldId="3" dataDxfId="38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54" tableType="queryTable" totalsRowCount="1">
  <autoFilter ref="A1:F53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36"/>
    <tableColumn id="3" xr3:uid="{F820E8CA-6A4C-48EE-B23B-488ED55C2688}" uniqueName="3" name="Date" queryTableFieldId="3" dataDxfId="35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34" totalsRowDxfId="33"/>
    <tableColumn id="6" xr3:uid="{823C75C5-A05B-4543-8808-551AD2189B88}" uniqueName="6" name="League Points" totalsRowFunction="sum" queryTableFieldId="6" dataDxfId="3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A55DE5-BB86-4566-A2CE-035781296B1D}" name="qry_Player_Game_Stats" displayName="qry_Player_Game_Stats" ref="A1:G103" tableType="queryTable" totalsRowCount="1">
  <autoFilter ref="A1:G102" xr:uid="{20A55DE5-BB86-4566-A2CE-035781296B1D}"/>
  <tableColumns count="7">
    <tableColumn id="1" xr3:uid="{87799735-5221-4FCB-A091-8FBDF220CAA4}" uniqueName="1" name="Game_ID" totalsRowLabel="Total" queryTableFieldId="1"/>
    <tableColumn id="2" xr3:uid="{D2ABC684-8214-4193-B754-74C9ED5CE074}" uniqueName="2" name="Player_No" queryTableFieldId="2"/>
    <tableColumn id="3" xr3:uid="{401436E3-6E66-4D88-A8F1-286925174421}" uniqueName="3" name="BuyIn" totalsRowFunction="sum" queryTableFieldId="3" dataDxfId="31" totalsRowDxfId="30"/>
    <tableColumn id="4" xr3:uid="{6FF2D69D-1643-4E9C-A115-F94F8803F92C}" uniqueName="4" name="Rebuy" totalsRowFunction="sum" queryTableFieldId="4" dataDxfId="29" totalsRowDxfId="28"/>
    <tableColumn id="5" xr3:uid="{7C460453-B175-429B-A255-061EECB32A28}" uniqueName="5" name="CashOut" totalsRowFunction="sum" queryTableFieldId="5" dataDxfId="27" totalsRowDxfId="26"/>
    <tableColumn id="6" xr3:uid="{B15797D8-6CA3-4EC1-B570-D868CA49C9F8}" uniqueName="6" name="ROI" totalsRowFunction="sum" queryTableFieldId="6" dataDxfId="25" totalsRowDxfId="24"/>
    <tableColumn id="7" xr3:uid="{25EDE672-4249-4B63-98DA-F0E838F0B62F}" uniqueName="7" name="qry_Players.Player_Name" queryTableFieldId="7" dataDxf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66"/>
  <sheetViews>
    <sheetView tabSelected="1" workbookViewId="0">
      <selection activeCell="I10" sqref="I10"/>
    </sheetView>
  </sheetViews>
  <sheetFormatPr defaultRowHeight="15" x14ac:dyDescent="0.25"/>
  <cols>
    <col min="1" max="1" width="10.85546875" customWidth="1"/>
    <col min="2" max="2" width="18.5703125" customWidth="1"/>
    <col min="3" max="3" width="11.140625" customWidth="1"/>
    <col min="4" max="4" width="12" customWidth="1"/>
    <col min="5" max="5" width="11.85546875" customWidth="1"/>
    <col min="6" max="6" width="14" customWidth="1"/>
    <col min="7" max="7" width="12.7109375" bestFit="1" customWidth="1"/>
    <col min="8" max="8" width="9.28515625" customWidth="1"/>
    <col min="9" max="9" width="11.140625" customWidth="1"/>
    <col min="10" max="11" width="9.42578125" bestFit="1" customWidth="1"/>
    <col min="12" max="16" width="10.42578125" bestFit="1" customWidth="1"/>
  </cols>
  <sheetData>
    <row r="1" spans="1:17" ht="21" x14ac:dyDescent="0.35">
      <c r="A1" s="34" t="s">
        <v>24</v>
      </c>
      <c r="B1" s="34"/>
      <c r="C1" s="34"/>
      <c r="D1" s="34"/>
      <c r="E1" s="34"/>
      <c r="F1" s="34"/>
      <c r="G1" s="20"/>
      <c r="H1" s="20"/>
      <c r="I1" s="20"/>
      <c r="J1" s="20"/>
      <c r="K1" s="20"/>
      <c r="L1" s="20"/>
      <c r="M1" s="20"/>
      <c r="N1" s="20"/>
    </row>
    <row r="2" spans="1:17" x14ac:dyDescent="0.25">
      <c r="A2" s="4" t="s">
        <v>22</v>
      </c>
      <c r="B2" s="4" t="s">
        <v>1</v>
      </c>
      <c r="C2" s="23" t="s">
        <v>23</v>
      </c>
      <c r="D2" s="23" t="s">
        <v>59</v>
      </c>
      <c r="E2" s="23" t="s">
        <v>62</v>
      </c>
      <c r="F2" s="23" t="s">
        <v>63</v>
      </c>
      <c r="G2" s="23" t="s">
        <v>75</v>
      </c>
      <c r="H2" s="23" t="s">
        <v>79</v>
      </c>
      <c r="I2" s="23" t="s">
        <v>81</v>
      </c>
      <c r="J2" s="23" t="s">
        <v>25</v>
      </c>
      <c r="K2" s="23" t="s">
        <v>26</v>
      </c>
      <c r="L2" s="23" t="s">
        <v>27</v>
      </c>
      <c r="M2" s="23" t="s">
        <v>28</v>
      </c>
      <c r="N2" s="23" t="s">
        <v>29</v>
      </c>
      <c r="O2" s="23" t="s">
        <v>30</v>
      </c>
      <c r="P2" s="23" t="s">
        <v>31</v>
      </c>
      <c r="Q2" s="23" t="s">
        <v>20</v>
      </c>
    </row>
    <row r="3" spans="1:17" x14ac:dyDescent="0.25">
      <c r="A3" s="4">
        <v>1</v>
      </c>
      <c r="B3" s="4" t="s">
        <v>2</v>
      </c>
      <c r="C3" s="6">
        <v>10</v>
      </c>
      <c r="D3" s="6">
        <v>10</v>
      </c>
      <c r="E3" s="6">
        <v>10</v>
      </c>
      <c r="F3" s="6">
        <v>10</v>
      </c>
      <c r="G3" s="6">
        <v>10</v>
      </c>
      <c r="H3" s="6">
        <v>10</v>
      </c>
      <c r="I3" s="6">
        <v>10</v>
      </c>
      <c r="J3" s="6"/>
      <c r="K3" s="6"/>
      <c r="L3" s="6"/>
      <c r="M3" s="6"/>
      <c r="N3" s="6"/>
      <c r="O3" s="6"/>
      <c r="P3" s="6"/>
      <c r="Q3" s="30">
        <f>SUM(League_Paymenst_2026[[#This Row],[23/01/2026]:[Week14]])</f>
        <v>70</v>
      </c>
    </row>
    <row r="4" spans="1:17" x14ac:dyDescent="0.25">
      <c r="A4" s="4">
        <v>2</v>
      </c>
      <c r="B4" s="4" t="s">
        <v>3</v>
      </c>
      <c r="C4" s="6">
        <v>10</v>
      </c>
      <c r="D4" s="6">
        <v>10</v>
      </c>
      <c r="E4" s="6">
        <v>10</v>
      </c>
      <c r="F4" s="6">
        <v>10</v>
      </c>
      <c r="G4" s="6"/>
      <c r="H4" s="6"/>
      <c r="I4" s="6">
        <v>10</v>
      </c>
      <c r="J4" s="6"/>
      <c r="K4" s="6"/>
      <c r="L4" s="6"/>
      <c r="M4" s="6"/>
      <c r="N4" s="6"/>
      <c r="O4" s="6"/>
      <c r="P4" s="6"/>
      <c r="Q4" s="30">
        <f>SUM(League_Paymenst_2026[[#This Row],[23/01/2026]:[Week14]])</f>
        <v>50</v>
      </c>
    </row>
    <row r="5" spans="1:17" x14ac:dyDescent="0.25">
      <c r="A5" s="4">
        <v>3</v>
      </c>
      <c r="B5" s="4" t="s">
        <v>4</v>
      </c>
      <c r="C5" s="6">
        <v>10</v>
      </c>
      <c r="D5" s="6">
        <v>10</v>
      </c>
      <c r="E5" s="6">
        <v>10</v>
      </c>
      <c r="F5" s="6"/>
      <c r="G5" s="6"/>
      <c r="H5" s="6">
        <v>20</v>
      </c>
      <c r="I5" s="6">
        <v>20</v>
      </c>
      <c r="J5" s="6"/>
      <c r="K5" s="6"/>
      <c r="L5" s="6"/>
      <c r="M5" s="6"/>
      <c r="N5" s="6"/>
      <c r="O5" s="6"/>
      <c r="P5" s="6"/>
      <c r="Q5" s="30">
        <f>SUM(League_Paymenst_2026[[#This Row],[23/01/2026]:[Week14]])</f>
        <v>70</v>
      </c>
    </row>
    <row r="6" spans="1:17" hidden="1" x14ac:dyDescent="0.25">
      <c r="A6" s="4">
        <v>4</v>
      </c>
      <c r="B6" s="4" t="s">
        <v>5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30">
        <f>SUM(League_Paymenst_2026[[#This Row],[23/01/2026]:[Week14]])</f>
        <v>0</v>
      </c>
    </row>
    <row r="7" spans="1:17" x14ac:dyDescent="0.25">
      <c r="A7" s="4">
        <v>5</v>
      </c>
      <c r="B7" s="4" t="s">
        <v>6</v>
      </c>
      <c r="C7" s="6">
        <v>10</v>
      </c>
      <c r="D7" s="6">
        <v>10</v>
      </c>
      <c r="E7" s="6">
        <v>10</v>
      </c>
      <c r="F7" s="6">
        <v>10</v>
      </c>
      <c r="G7" s="6"/>
      <c r="H7" s="6">
        <v>10</v>
      </c>
      <c r="I7" s="6">
        <v>10</v>
      </c>
      <c r="J7" s="6"/>
      <c r="K7" s="6"/>
      <c r="L7" s="6"/>
      <c r="M7" s="6"/>
      <c r="N7" s="6"/>
      <c r="O7" s="6"/>
      <c r="P7" s="6"/>
      <c r="Q7" s="30">
        <f>SUM(League_Paymenst_2026[[#This Row],[23/01/2026]:[Week14]])</f>
        <v>60</v>
      </c>
    </row>
    <row r="8" spans="1:17" x14ac:dyDescent="0.25">
      <c r="A8" s="4">
        <v>6</v>
      </c>
      <c r="B8" s="4" t="s">
        <v>7</v>
      </c>
      <c r="C8" s="6">
        <v>10</v>
      </c>
      <c r="D8" s="6">
        <v>10</v>
      </c>
      <c r="E8" s="6">
        <v>10</v>
      </c>
      <c r="F8" s="6">
        <v>10</v>
      </c>
      <c r="G8" s="6">
        <v>10</v>
      </c>
      <c r="H8" s="6"/>
      <c r="I8" s="6">
        <v>10</v>
      </c>
      <c r="J8" s="6"/>
      <c r="K8" s="6"/>
      <c r="L8" s="6"/>
      <c r="M8" s="6"/>
      <c r="N8" s="6"/>
      <c r="O8" s="6"/>
      <c r="P8" s="6"/>
      <c r="Q8" s="30">
        <f>SUM(League_Paymenst_2026[[#This Row],[23/01/2026]:[Week14]])</f>
        <v>60</v>
      </c>
    </row>
    <row r="9" spans="1:17" x14ac:dyDescent="0.25">
      <c r="A9" s="4">
        <v>7</v>
      </c>
      <c r="B9" s="4" t="s">
        <v>8</v>
      </c>
      <c r="C9" s="6"/>
      <c r="D9" s="6"/>
      <c r="E9" s="6">
        <v>10</v>
      </c>
      <c r="F9" s="6">
        <v>10</v>
      </c>
      <c r="G9" s="6">
        <v>10</v>
      </c>
      <c r="H9" s="6">
        <v>10</v>
      </c>
      <c r="I9" s="6">
        <v>10</v>
      </c>
      <c r="J9" s="6"/>
      <c r="K9" s="6"/>
      <c r="L9" s="6"/>
      <c r="M9" s="6"/>
      <c r="N9" s="6"/>
      <c r="O9" s="6"/>
      <c r="P9" s="6"/>
      <c r="Q9" s="30">
        <f>SUM(League_Paymenst_2026[[#This Row],[23/01/2026]:[Week14]])</f>
        <v>50</v>
      </c>
    </row>
    <row r="10" spans="1:17" x14ac:dyDescent="0.25">
      <c r="A10" s="4">
        <v>8</v>
      </c>
      <c r="B10" s="4" t="s">
        <v>9</v>
      </c>
      <c r="C10" s="6">
        <v>10</v>
      </c>
      <c r="D10" s="6">
        <v>10</v>
      </c>
      <c r="E10" s="6"/>
      <c r="F10" s="6">
        <v>10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30">
        <f>SUM(League_Paymenst_2026[[#This Row],[23/01/2026]:[Week14]])</f>
        <v>30</v>
      </c>
    </row>
    <row r="11" spans="1:17" hidden="1" x14ac:dyDescent="0.25">
      <c r="A11" s="28">
        <v>9</v>
      </c>
      <c r="B11" s="28" t="s">
        <v>10</v>
      </c>
      <c r="C11" s="29"/>
      <c r="D11" s="29"/>
      <c r="E11" s="29"/>
      <c r="F11" s="29"/>
      <c r="G11" s="29"/>
      <c r="H11" s="1"/>
      <c r="I11" s="1"/>
      <c r="J11" s="1"/>
      <c r="K11" s="1"/>
      <c r="L11" s="1"/>
      <c r="M11" s="1"/>
      <c r="N11" s="1"/>
      <c r="O11" s="1"/>
      <c r="P11" s="1"/>
      <c r="Q11" s="11">
        <f>SUM(League_Paymenst_2026[[#This Row],[23/01/2026]:[Week14]])</f>
        <v>0</v>
      </c>
    </row>
    <row r="12" spans="1:17" hidden="1" x14ac:dyDescent="0.25">
      <c r="A12" s="4">
        <v>10</v>
      </c>
      <c r="B12" s="4" t="s">
        <v>11</v>
      </c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  <c r="N12" s="1"/>
      <c r="O12" s="1"/>
      <c r="P12" s="1"/>
      <c r="Q12" s="11">
        <f>SUM(League_Paymenst_2026[[#This Row],[23/01/2026]:[Week14]])</f>
        <v>0</v>
      </c>
    </row>
    <row r="13" spans="1:17" x14ac:dyDescent="0.25">
      <c r="A13" s="4">
        <v>11</v>
      </c>
      <c r="B13" s="4" t="s">
        <v>12</v>
      </c>
      <c r="C13" s="6">
        <v>10</v>
      </c>
      <c r="D13" s="6">
        <v>10</v>
      </c>
      <c r="E13" s="6">
        <v>10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30">
        <f>SUM(League_Paymenst_2026[[#This Row],[23/01/2026]:[Week14]])</f>
        <v>30</v>
      </c>
    </row>
    <row r="14" spans="1:17" x14ac:dyDescent="0.25">
      <c r="A14" s="4">
        <v>12</v>
      </c>
      <c r="B14" s="4" t="s">
        <v>19</v>
      </c>
      <c r="C14" s="6"/>
      <c r="D14" s="6"/>
      <c r="E14" s="6">
        <v>10</v>
      </c>
      <c r="F14" s="6"/>
      <c r="G14" s="6">
        <v>10</v>
      </c>
      <c r="H14" s="6">
        <v>10</v>
      </c>
      <c r="I14" s="6"/>
      <c r="J14" s="6"/>
      <c r="K14" s="6"/>
      <c r="L14" s="6"/>
      <c r="M14" s="6"/>
      <c r="N14" s="6"/>
      <c r="O14" s="6"/>
      <c r="P14" s="6"/>
      <c r="Q14" s="30">
        <f>SUM(League_Paymenst_2026[[#This Row],[23/01/2026]:[Week14]])</f>
        <v>30</v>
      </c>
    </row>
    <row r="15" spans="1:17" x14ac:dyDescent="0.25">
      <c r="A15" s="4" t="s">
        <v>20</v>
      </c>
      <c r="B15" s="4"/>
      <c r="C15" s="24">
        <f>SUBTOTAL(109,League_Paymenst_2026[23/01/2026])</f>
        <v>70</v>
      </c>
      <c r="D15" s="24">
        <f>SUBTOTAL(109,League_Paymenst_2026[13/02/2026])</f>
        <v>70</v>
      </c>
      <c r="E15" s="24">
        <f>SUBTOTAL(109,League_Paymenst_2026[06/03/2026])</f>
        <v>80</v>
      </c>
      <c r="F15" s="24">
        <f>SUBTOTAL(109,League_Paymenst_2026[03/04/2026])</f>
        <v>60</v>
      </c>
      <c r="G15" s="24">
        <f>SUBTOTAL(109,League_Paymenst_2026[23/04/2026])</f>
        <v>40</v>
      </c>
      <c r="H15" s="24">
        <f>SUBTOTAL(109,League_Paymenst_2026[22/05/2026])</f>
        <v>60</v>
      </c>
      <c r="I15" s="24">
        <f>SUBTOTAL(109,League_Paymenst_2026[12/06/2026])</f>
        <v>70</v>
      </c>
      <c r="J15" s="24">
        <f>SUBTOTAL(109,League_Paymenst_2026[Week8])</f>
        <v>0</v>
      </c>
      <c r="K15" s="24">
        <f>SUBTOTAL(109,League_Paymenst_2026[Week9])</f>
        <v>0</v>
      </c>
      <c r="L15" s="24">
        <f>SUBTOTAL(109,League_Paymenst_2026[Week10])</f>
        <v>0</v>
      </c>
      <c r="M15" s="24">
        <f>SUBTOTAL(109,League_Paymenst_2026[Week11])</f>
        <v>0</v>
      </c>
      <c r="N15" s="24">
        <f>SUBTOTAL(109,League_Paymenst_2026[Week12])</f>
        <v>0</v>
      </c>
      <c r="O15" s="24">
        <f>SUBTOTAL(109,League_Paymenst_2026[Week13])</f>
        <v>0</v>
      </c>
      <c r="P15" s="24">
        <f>SUBTOTAL(109,League_Paymenst_2026[Week14])</f>
        <v>0</v>
      </c>
      <c r="Q15" s="24">
        <f>SUBTOTAL(109,League_Paymenst_2026[Total])</f>
        <v>450</v>
      </c>
    </row>
    <row r="16" spans="1:17" x14ac:dyDescent="0.25">
      <c r="A16" t="s">
        <v>52</v>
      </c>
    </row>
    <row r="17" spans="1:7" x14ac:dyDescent="0.25">
      <c r="A17" t="s">
        <v>52</v>
      </c>
    </row>
    <row r="18" spans="1:7" x14ac:dyDescent="0.25">
      <c r="A18" t="s">
        <v>52</v>
      </c>
    </row>
    <row r="19" spans="1:7" x14ac:dyDescent="0.25">
      <c r="A19" s="33" t="s">
        <v>56</v>
      </c>
      <c r="B19" s="33"/>
      <c r="C19" s="33"/>
      <c r="D19" s="33"/>
      <c r="E19" s="33"/>
      <c r="F19" s="12">
        <v>46185</v>
      </c>
      <c r="G19" s="12"/>
    </row>
    <row r="20" spans="1:7" ht="30" x14ac:dyDescent="0.25">
      <c r="A20" s="31" t="s">
        <v>22</v>
      </c>
      <c r="B20" s="31" t="s">
        <v>1</v>
      </c>
      <c r="C20" s="32" t="s">
        <v>15</v>
      </c>
      <c r="D20" s="32" t="s">
        <v>16</v>
      </c>
      <c r="E20" s="32" t="s">
        <v>57</v>
      </c>
      <c r="F20" s="32" t="s">
        <v>58</v>
      </c>
    </row>
    <row r="21" spans="1:7" x14ac:dyDescent="0.25">
      <c r="A21" s="21">
        <v>1</v>
      </c>
      <c r="B21" s="21" t="s">
        <v>2</v>
      </c>
      <c r="C21" s="22"/>
      <c r="D21" s="22"/>
      <c r="E21" s="22"/>
      <c r="F21" s="22"/>
    </row>
    <row r="22" spans="1:7" x14ac:dyDescent="0.25">
      <c r="A22" s="4">
        <v>2</v>
      </c>
      <c r="B22" s="4" t="s">
        <v>3</v>
      </c>
      <c r="C22" s="6"/>
      <c r="D22" s="6"/>
      <c r="E22" s="6"/>
      <c r="F22" s="6"/>
    </row>
    <row r="23" spans="1:7" x14ac:dyDescent="0.25">
      <c r="A23" s="21">
        <v>3</v>
      </c>
      <c r="B23" s="21" t="s">
        <v>4</v>
      </c>
      <c r="C23" s="22"/>
      <c r="D23" s="22"/>
      <c r="E23" s="22"/>
      <c r="F23" s="22"/>
    </row>
    <row r="24" spans="1:7" x14ac:dyDescent="0.25">
      <c r="A24" s="4">
        <v>4</v>
      </c>
      <c r="B24" s="4" t="s">
        <v>5</v>
      </c>
      <c r="C24" s="6"/>
      <c r="D24" s="6"/>
      <c r="E24" s="6"/>
      <c r="F24" s="6"/>
    </row>
    <row r="25" spans="1:7" x14ac:dyDescent="0.25">
      <c r="A25" s="21">
        <v>5</v>
      </c>
      <c r="B25" s="21" t="s">
        <v>6</v>
      </c>
      <c r="C25" s="22"/>
      <c r="D25" s="22"/>
      <c r="E25" s="22"/>
      <c r="F25" s="22"/>
    </row>
    <row r="26" spans="1:7" x14ac:dyDescent="0.25">
      <c r="A26" s="4">
        <v>6</v>
      </c>
      <c r="B26" s="4" t="s">
        <v>7</v>
      </c>
      <c r="C26" s="6"/>
      <c r="D26" s="6"/>
      <c r="E26" s="6"/>
      <c r="F26" s="6"/>
    </row>
    <row r="27" spans="1:7" x14ac:dyDescent="0.25">
      <c r="A27" s="21">
        <v>7</v>
      </c>
      <c r="B27" s="21" t="s">
        <v>8</v>
      </c>
      <c r="C27" s="22"/>
      <c r="D27" s="22"/>
      <c r="E27" s="22"/>
      <c r="F27" s="22"/>
    </row>
    <row r="28" spans="1:7" x14ac:dyDescent="0.25">
      <c r="A28" s="4">
        <v>8</v>
      </c>
      <c r="B28" s="4" t="s">
        <v>9</v>
      </c>
      <c r="C28" s="6"/>
      <c r="D28" s="6"/>
      <c r="E28" s="6"/>
      <c r="F28" s="6"/>
    </row>
    <row r="29" spans="1:7" x14ac:dyDescent="0.25">
      <c r="A29" s="21">
        <v>9</v>
      </c>
      <c r="B29" s="21" t="s">
        <v>10</v>
      </c>
      <c r="C29" s="22"/>
      <c r="D29" s="22"/>
      <c r="E29" s="22"/>
      <c r="F29" s="22"/>
    </row>
    <row r="30" spans="1:7" x14ac:dyDescent="0.25">
      <c r="A30" s="21">
        <v>11</v>
      </c>
      <c r="B30" s="21" t="s">
        <v>12</v>
      </c>
      <c r="C30" s="22"/>
      <c r="D30" s="22"/>
      <c r="E30" s="22"/>
      <c r="F30" s="22"/>
    </row>
    <row r="31" spans="1:7" x14ac:dyDescent="0.25">
      <c r="A31" s="4">
        <v>12</v>
      </c>
      <c r="B31" s="4" t="s">
        <v>19</v>
      </c>
      <c r="C31" s="6"/>
      <c r="D31" s="6"/>
      <c r="E31" s="6"/>
      <c r="F31" s="6"/>
    </row>
    <row r="32" spans="1:7" x14ac:dyDescent="0.25">
      <c r="A32" t="s">
        <v>52</v>
      </c>
    </row>
    <row r="33" spans="1:2" x14ac:dyDescent="0.25">
      <c r="A33" t="s">
        <v>52</v>
      </c>
    </row>
    <row r="34" spans="1:2" hidden="1" x14ac:dyDescent="0.25"/>
    <row r="35" spans="1:2" hidden="1" x14ac:dyDescent="0.25"/>
    <row r="40" spans="1:2" x14ac:dyDescent="0.25">
      <c r="A40" s="3" t="s">
        <v>40</v>
      </c>
      <c r="B40" s="4" t="s">
        <v>61</v>
      </c>
    </row>
    <row r="41" spans="1:2" x14ac:dyDescent="0.25">
      <c r="A41" s="5" t="s">
        <v>2</v>
      </c>
      <c r="B41" s="6">
        <v>60</v>
      </c>
    </row>
    <row r="42" spans="1:2" x14ac:dyDescent="0.25">
      <c r="A42" s="5" t="s">
        <v>6</v>
      </c>
      <c r="B42" s="6">
        <v>50</v>
      </c>
    </row>
    <row r="43" spans="1:2" x14ac:dyDescent="0.25">
      <c r="A43" s="5" t="s">
        <v>4</v>
      </c>
      <c r="B43" s="6">
        <v>50</v>
      </c>
    </row>
    <row r="44" spans="1:2" x14ac:dyDescent="0.25">
      <c r="A44" s="5" t="s">
        <v>7</v>
      </c>
      <c r="B44" s="6">
        <v>50</v>
      </c>
    </row>
    <row r="45" spans="1:2" x14ac:dyDescent="0.25">
      <c r="A45" s="5" t="s">
        <v>8</v>
      </c>
      <c r="B45" s="6">
        <v>40</v>
      </c>
    </row>
    <row r="46" spans="1:2" x14ac:dyDescent="0.25">
      <c r="A46" s="5" t="s">
        <v>3</v>
      </c>
      <c r="B46" s="6">
        <v>40</v>
      </c>
    </row>
    <row r="47" spans="1:2" x14ac:dyDescent="0.25">
      <c r="A47" s="5" t="s">
        <v>19</v>
      </c>
      <c r="B47" s="6">
        <v>30</v>
      </c>
    </row>
    <row r="48" spans="1:2" x14ac:dyDescent="0.25">
      <c r="A48" s="5" t="s">
        <v>9</v>
      </c>
      <c r="B48" s="6">
        <v>30</v>
      </c>
    </row>
    <row r="49" spans="1:4" x14ac:dyDescent="0.25">
      <c r="A49" s="5" t="s">
        <v>12</v>
      </c>
      <c r="B49" s="6">
        <v>30</v>
      </c>
    </row>
    <row r="50" spans="1:4" x14ac:dyDescent="0.25">
      <c r="A50" s="5" t="s">
        <v>18</v>
      </c>
      <c r="B50" s="6">
        <v>380</v>
      </c>
    </row>
    <row r="51" spans="1:4" x14ac:dyDescent="0.25">
      <c r="A51" s="13" t="s">
        <v>52</v>
      </c>
    </row>
    <row r="52" spans="1:4" x14ac:dyDescent="0.25">
      <c r="A52" s="13" t="s">
        <v>52</v>
      </c>
    </row>
    <row r="53" spans="1:4" x14ac:dyDescent="0.25">
      <c r="A53" s="13" t="s">
        <v>52</v>
      </c>
    </row>
    <row r="54" spans="1:4" x14ac:dyDescent="0.25">
      <c r="A54" s="18" t="s">
        <v>74</v>
      </c>
      <c r="C54" s="1"/>
      <c r="D54" s="1">
        <v>900</v>
      </c>
    </row>
    <row r="55" spans="1:4" x14ac:dyDescent="0.25">
      <c r="A55" s="14" t="s">
        <v>65</v>
      </c>
      <c r="B55" s="19">
        <v>0.15</v>
      </c>
      <c r="C55" s="1">
        <f>ROUND($D$54*B55,0)</f>
        <v>135</v>
      </c>
      <c r="D55" s="1"/>
    </row>
    <row r="56" spans="1:4" x14ac:dyDescent="0.25">
      <c r="A56" s="14" t="s">
        <v>64</v>
      </c>
      <c r="B56" s="19">
        <v>0.25</v>
      </c>
      <c r="C56" s="1">
        <f t="shared" ref="C56:C64" si="0">ROUND($D$54*B56,0)</f>
        <v>225</v>
      </c>
      <c r="D56" s="1"/>
    </row>
    <row r="57" spans="1:4" x14ac:dyDescent="0.25">
      <c r="A57" s="9" t="s">
        <v>66</v>
      </c>
      <c r="B57" s="19">
        <v>0.15</v>
      </c>
      <c r="C57" s="1">
        <f t="shared" si="0"/>
        <v>135</v>
      </c>
      <c r="D57" s="1"/>
    </row>
    <row r="58" spans="1:4" x14ac:dyDescent="0.25">
      <c r="A58" s="9" t="s">
        <v>67</v>
      </c>
      <c r="B58" s="19">
        <v>0.12</v>
      </c>
      <c r="C58" s="1">
        <f t="shared" si="0"/>
        <v>108</v>
      </c>
      <c r="D58" s="1"/>
    </row>
    <row r="59" spans="1:4" x14ac:dyDescent="0.25">
      <c r="A59" s="9" t="s">
        <v>68</v>
      </c>
      <c r="B59" s="19">
        <v>0.08</v>
      </c>
      <c r="C59" s="1">
        <f t="shared" si="0"/>
        <v>72</v>
      </c>
      <c r="D59" s="1"/>
    </row>
    <row r="60" spans="1:4" x14ac:dyDescent="0.25">
      <c r="A60" s="9" t="s">
        <v>69</v>
      </c>
      <c r="B60" s="19">
        <v>7.0000000000000007E-2</v>
      </c>
      <c r="C60" s="1">
        <f t="shared" si="0"/>
        <v>63</v>
      </c>
      <c r="D60" s="1"/>
    </row>
    <row r="61" spans="1:4" x14ac:dyDescent="0.25">
      <c r="A61" s="9" t="s">
        <v>70</v>
      </c>
      <c r="B61" s="19">
        <v>0.06</v>
      </c>
      <c r="C61" s="1">
        <f t="shared" si="0"/>
        <v>54</v>
      </c>
      <c r="D61" s="1"/>
    </row>
    <row r="62" spans="1:4" x14ac:dyDescent="0.25">
      <c r="A62" s="9" t="s">
        <v>71</v>
      </c>
      <c r="B62" s="19">
        <v>0.05</v>
      </c>
      <c r="C62" s="1">
        <f t="shared" si="0"/>
        <v>45</v>
      </c>
      <c r="D62" s="1"/>
    </row>
    <row r="63" spans="1:4" x14ac:dyDescent="0.25">
      <c r="A63" s="9" t="s">
        <v>72</v>
      </c>
      <c r="B63" s="19">
        <v>0.04</v>
      </c>
      <c r="C63" s="1">
        <f t="shared" si="0"/>
        <v>36</v>
      </c>
      <c r="D63" s="1"/>
    </row>
    <row r="64" spans="1:4" x14ac:dyDescent="0.25">
      <c r="A64" s="9" t="s">
        <v>73</v>
      </c>
      <c r="B64" s="19">
        <v>0.03</v>
      </c>
      <c r="C64" s="1">
        <f t="shared" si="0"/>
        <v>27</v>
      </c>
      <c r="D64" s="1"/>
    </row>
    <row r="65" spans="1:4" ht="15.75" thickBot="1" x14ac:dyDescent="0.3">
      <c r="A65" s="15" t="s">
        <v>20</v>
      </c>
      <c r="B65" s="16">
        <f>SUM(B55:B64)</f>
        <v>1.0000000000000002</v>
      </c>
      <c r="C65" s="17">
        <f>SUM(C54:C64)</f>
        <v>900</v>
      </c>
      <c r="D65" s="17">
        <f>SUM(D54:D64)</f>
        <v>900</v>
      </c>
    </row>
    <row r="66" spans="1:4" ht="15.75" thickTop="1" x14ac:dyDescent="0.25"/>
  </sheetData>
  <mergeCells count="2">
    <mergeCell ref="A19:E19"/>
    <mergeCell ref="A1:F1"/>
  </mergeCells>
  <phoneticPr fontId="1" type="noConversion"/>
  <pageMargins left="0.31496062992125984" right="0.31496062992125984" top="0.74803149606299213" bottom="0.74803149606299213" header="0.31496062992125984" footer="0.31496062992125984"/>
  <pageSetup orientation="landscape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workbookViewId="0">
      <selection activeCell="J15" sqref="J15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36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E15"/>
  <sheetViews>
    <sheetView workbookViewId="0">
      <selection activeCell="C6" sqref="C6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  <col min="5" max="5" width="19" bestFit="1" customWidth="1"/>
    <col min="11" max="11" width="15.140625" bestFit="1" customWidth="1"/>
    <col min="12" max="12" width="25.28515625" bestFit="1" customWidth="1"/>
    <col min="13" max="13" width="12.5703125" bestFit="1" customWidth="1"/>
    <col min="14" max="14" width="9.7109375" bestFit="1" customWidth="1"/>
    <col min="15" max="15" width="13.5703125" bestFit="1" customWidth="1"/>
    <col min="16" max="16" width="15.28515625" bestFit="1" customWidth="1"/>
    <col min="17" max="17" width="11.28515625" bestFit="1" customWidth="1"/>
  </cols>
  <sheetData>
    <row r="1" spans="1:5" x14ac:dyDescent="0.25">
      <c r="A1" t="s">
        <v>21</v>
      </c>
      <c r="B1" t="s">
        <v>13</v>
      </c>
      <c r="C1" t="s">
        <v>37</v>
      </c>
      <c r="D1" t="s">
        <v>38</v>
      </c>
      <c r="E1" t="s">
        <v>80</v>
      </c>
    </row>
    <row r="2" spans="1:5" x14ac:dyDescent="0.25">
      <c r="A2">
        <v>1</v>
      </c>
      <c r="B2" s="2">
        <v>45681</v>
      </c>
      <c r="C2">
        <v>6</v>
      </c>
      <c r="D2" t="s">
        <v>7</v>
      </c>
    </row>
    <row r="3" spans="1:5" x14ac:dyDescent="0.25">
      <c r="A3">
        <v>2</v>
      </c>
      <c r="B3" s="2">
        <v>45709</v>
      </c>
      <c r="C3">
        <v>1</v>
      </c>
      <c r="D3" t="s">
        <v>2</v>
      </c>
    </row>
    <row r="4" spans="1:5" x14ac:dyDescent="0.25">
      <c r="A4">
        <v>3</v>
      </c>
      <c r="B4" s="2">
        <v>45730</v>
      </c>
      <c r="C4">
        <v>4</v>
      </c>
      <c r="D4" t="s">
        <v>5</v>
      </c>
    </row>
    <row r="5" spans="1:5" x14ac:dyDescent="0.25">
      <c r="A5">
        <v>4</v>
      </c>
      <c r="B5" s="2">
        <v>45765</v>
      </c>
      <c r="C5">
        <v>5</v>
      </c>
      <c r="D5" t="s">
        <v>6</v>
      </c>
    </row>
    <row r="6" spans="1:5" x14ac:dyDescent="0.25">
      <c r="A6">
        <v>5</v>
      </c>
      <c r="B6" s="2">
        <v>45954</v>
      </c>
      <c r="C6">
        <v>5</v>
      </c>
      <c r="D6" t="s">
        <v>6</v>
      </c>
    </row>
    <row r="7" spans="1:5" x14ac:dyDescent="0.25">
      <c r="A7">
        <v>6</v>
      </c>
      <c r="B7" s="2">
        <v>45982</v>
      </c>
      <c r="C7">
        <v>1</v>
      </c>
      <c r="D7" t="s">
        <v>2</v>
      </c>
    </row>
    <row r="8" spans="1:5" x14ac:dyDescent="0.25">
      <c r="A8">
        <v>7</v>
      </c>
      <c r="B8" s="2">
        <v>46010</v>
      </c>
      <c r="C8">
        <v>6</v>
      </c>
      <c r="D8" t="s">
        <v>7</v>
      </c>
    </row>
    <row r="9" spans="1:5" x14ac:dyDescent="0.25">
      <c r="A9">
        <v>8</v>
      </c>
      <c r="B9" s="2">
        <v>46024</v>
      </c>
      <c r="C9">
        <v>3</v>
      </c>
      <c r="D9" t="s">
        <v>4</v>
      </c>
      <c r="E9" t="s">
        <v>7</v>
      </c>
    </row>
    <row r="10" spans="1:5" x14ac:dyDescent="0.25">
      <c r="A10">
        <v>9</v>
      </c>
      <c r="B10" s="2">
        <v>46045</v>
      </c>
      <c r="C10">
        <v>2</v>
      </c>
      <c r="D10" t="s">
        <v>3</v>
      </c>
      <c r="E10" t="s">
        <v>9</v>
      </c>
    </row>
    <row r="11" spans="1:5" x14ac:dyDescent="0.25">
      <c r="A11">
        <v>10</v>
      </c>
      <c r="B11" s="2">
        <v>46066</v>
      </c>
      <c r="C11">
        <v>1</v>
      </c>
      <c r="D11" t="s">
        <v>2</v>
      </c>
      <c r="E11" t="s">
        <v>4</v>
      </c>
    </row>
    <row r="12" spans="1:5" x14ac:dyDescent="0.25">
      <c r="A12">
        <v>11</v>
      </c>
      <c r="B12" s="2">
        <v>46087</v>
      </c>
      <c r="C12">
        <v>5</v>
      </c>
      <c r="D12" t="s">
        <v>6</v>
      </c>
      <c r="E12" t="s">
        <v>6</v>
      </c>
    </row>
    <row r="13" spans="1:5" x14ac:dyDescent="0.25">
      <c r="A13">
        <v>12</v>
      </c>
      <c r="B13" s="2">
        <v>46115</v>
      </c>
      <c r="C13">
        <v>2</v>
      </c>
      <c r="D13" t="s">
        <v>3</v>
      </c>
      <c r="E13" t="s">
        <v>2</v>
      </c>
    </row>
    <row r="14" spans="1:5" x14ac:dyDescent="0.25">
      <c r="A14">
        <v>13</v>
      </c>
      <c r="B14" s="2">
        <v>46136</v>
      </c>
      <c r="C14">
        <v>1</v>
      </c>
      <c r="D14" t="s">
        <v>2</v>
      </c>
      <c r="E14" t="s">
        <v>2</v>
      </c>
    </row>
    <row r="15" spans="1:5" x14ac:dyDescent="0.25">
      <c r="A15">
        <v>14</v>
      </c>
      <c r="B15" s="2">
        <v>46164</v>
      </c>
      <c r="C15">
        <v>6</v>
      </c>
      <c r="D15" t="s">
        <v>7</v>
      </c>
      <c r="E15" t="s">
        <v>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P54"/>
  <sheetViews>
    <sheetView workbookViewId="0">
      <pane ySplit="1" topLeftCell="A11" activePane="bottomLeft" state="frozen"/>
      <selection pane="bottomLeft" activeCell="E9" sqref="E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5" width="9.140625" bestFit="1" customWidth="1"/>
    <col min="6" max="6" width="11.140625" bestFit="1" customWidth="1"/>
    <col min="7" max="7" width="16" bestFit="1" customWidth="1"/>
    <col min="8" max="8" width="7.5703125" bestFit="1" customWidth="1"/>
    <col min="11" max="11" width="18" bestFit="1" customWidth="1"/>
    <col min="12" max="12" width="23.85546875" bestFit="1" customWidth="1"/>
    <col min="13" max="13" width="22.42578125" bestFit="1" customWidth="1"/>
    <col min="14" max="14" width="20.5703125" bestFit="1" customWidth="1"/>
    <col min="15" max="15" width="24.85546875" bestFit="1" customWidth="1"/>
    <col min="16" max="16" width="22.28515625" bestFit="1" customWidth="1"/>
  </cols>
  <sheetData>
    <row r="1" spans="1:12" x14ac:dyDescent="0.25">
      <c r="A1" t="s">
        <v>21</v>
      </c>
      <c r="B1" t="s">
        <v>22</v>
      </c>
      <c r="C1" t="s">
        <v>38</v>
      </c>
      <c r="D1" t="s">
        <v>15</v>
      </c>
      <c r="E1" t="s">
        <v>16</v>
      </c>
      <c r="F1" t="s">
        <v>17</v>
      </c>
      <c r="G1" t="s">
        <v>39</v>
      </c>
      <c r="H1" t="s">
        <v>34</v>
      </c>
      <c r="K1" s="35" t="s">
        <v>39</v>
      </c>
      <c r="L1" s="35"/>
    </row>
    <row r="2" spans="1:12" x14ac:dyDescent="0.25">
      <c r="A2">
        <v>8</v>
      </c>
      <c r="B2">
        <v>1</v>
      </c>
      <c r="C2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33</v>
      </c>
      <c r="L2" s="4" t="s">
        <v>41</v>
      </c>
    </row>
    <row r="3" spans="1:12" x14ac:dyDescent="0.25">
      <c r="A3">
        <v>8</v>
      </c>
      <c r="B3">
        <v>2</v>
      </c>
      <c r="C3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7</v>
      </c>
      <c r="L3" s="7">
        <v>24750</v>
      </c>
    </row>
    <row r="4" spans="1:12" x14ac:dyDescent="0.25">
      <c r="A4">
        <v>8</v>
      </c>
      <c r="B4">
        <v>3</v>
      </c>
      <c r="C4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6</v>
      </c>
      <c r="L4" s="7">
        <v>21750</v>
      </c>
    </row>
    <row r="5" spans="1:12" x14ac:dyDescent="0.25">
      <c r="A5">
        <v>8</v>
      </c>
      <c r="B5">
        <v>5</v>
      </c>
      <c r="C5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4</v>
      </c>
      <c r="L5" s="7">
        <v>18250</v>
      </c>
    </row>
    <row r="6" spans="1:12" x14ac:dyDescent="0.25">
      <c r="A6">
        <v>8</v>
      </c>
      <c r="B6">
        <v>6</v>
      </c>
      <c r="C6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2</v>
      </c>
      <c r="L6" s="7">
        <v>15500</v>
      </c>
    </row>
    <row r="7" spans="1:12" x14ac:dyDescent="0.25">
      <c r="A7">
        <v>8</v>
      </c>
      <c r="B7">
        <v>7</v>
      </c>
      <c r="C7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3</v>
      </c>
      <c r="L7" s="7">
        <v>13750</v>
      </c>
    </row>
    <row r="8" spans="1:12" x14ac:dyDescent="0.25">
      <c r="A8">
        <v>8</v>
      </c>
      <c r="B8">
        <v>11</v>
      </c>
      <c r="C8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8</v>
      </c>
      <c r="L8" s="7">
        <v>10500</v>
      </c>
    </row>
    <row r="9" spans="1:12" x14ac:dyDescent="0.25">
      <c r="A9">
        <v>8</v>
      </c>
      <c r="B9">
        <v>12</v>
      </c>
      <c r="C9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12</v>
      </c>
      <c r="L9" s="7">
        <v>10000</v>
      </c>
    </row>
    <row r="10" spans="1:12" x14ac:dyDescent="0.25">
      <c r="A10">
        <v>9</v>
      </c>
      <c r="B10">
        <v>1</v>
      </c>
      <c r="C10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9</v>
      </c>
      <c r="L10" s="7">
        <v>8500</v>
      </c>
    </row>
    <row r="11" spans="1:12" x14ac:dyDescent="0.25">
      <c r="A11">
        <v>9</v>
      </c>
      <c r="B11">
        <v>2</v>
      </c>
      <c r="C11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5</v>
      </c>
      <c r="L11" s="7">
        <v>5500</v>
      </c>
    </row>
    <row r="12" spans="1:12" x14ac:dyDescent="0.25">
      <c r="A12">
        <v>9</v>
      </c>
      <c r="B12">
        <v>3</v>
      </c>
      <c r="C12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19</v>
      </c>
      <c r="L12" s="7">
        <v>1750</v>
      </c>
    </row>
    <row r="13" spans="1:12" x14ac:dyDescent="0.25">
      <c r="A13">
        <v>9</v>
      </c>
      <c r="B13">
        <v>5</v>
      </c>
      <c r="C13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  <c r="K13" s="5" t="s">
        <v>18</v>
      </c>
      <c r="L13" s="7">
        <v>130250</v>
      </c>
    </row>
    <row r="14" spans="1:12" x14ac:dyDescent="0.25">
      <c r="A14">
        <v>9</v>
      </c>
      <c r="B14">
        <v>6</v>
      </c>
      <c r="C14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6" x14ac:dyDescent="0.25">
      <c r="A17">
        <v>10</v>
      </c>
      <c r="B17">
        <v>1</v>
      </c>
      <c r="C17" t="s">
        <v>2</v>
      </c>
      <c r="D17" s="1">
        <v>30</v>
      </c>
      <c r="E17" s="1">
        <v>20</v>
      </c>
      <c r="F17" s="1">
        <v>10</v>
      </c>
      <c r="G17">
        <v>500</v>
      </c>
      <c r="H17" s="1">
        <v>-40</v>
      </c>
      <c r="K17" s="35" t="s">
        <v>43</v>
      </c>
      <c r="L17" s="35"/>
    </row>
    <row r="18" spans="1:16" x14ac:dyDescent="0.25">
      <c r="A18">
        <v>10</v>
      </c>
      <c r="B18">
        <v>2</v>
      </c>
      <c r="C18" t="s">
        <v>3</v>
      </c>
      <c r="D18" s="1">
        <v>30</v>
      </c>
      <c r="E18" s="1">
        <v>20</v>
      </c>
      <c r="F18" s="1">
        <v>25</v>
      </c>
      <c r="G18">
        <v>1250</v>
      </c>
      <c r="H18" s="1">
        <v>-25</v>
      </c>
      <c r="K18" s="3" t="s">
        <v>33</v>
      </c>
      <c r="L18" s="4" t="s">
        <v>42</v>
      </c>
    </row>
    <row r="19" spans="1:16" x14ac:dyDescent="0.25">
      <c r="A19">
        <v>10</v>
      </c>
      <c r="B19">
        <v>3</v>
      </c>
      <c r="C19" t="s">
        <v>4</v>
      </c>
      <c r="D19" s="1">
        <v>30</v>
      </c>
      <c r="E19" s="1">
        <v>20</v>
      </c>
      <c r="F19" s="1">
        <v>80</v>
      </c>
      <c r="G19">
        <v>4000</v>
      </c>
      <c r="H19" s="1">
        <v>30</v>
      </c>
      <c r="K19" s="5" t="s">
        <v>2</v>
      </c>
      <c r="L19" s="4">
        <v>4</v>
      </c>
    </row>
    <row r="20" spans="1:16" x14ac:dyDescent="0.25">
      <c r="A20">
        <v>10</v>
      </c>
      <c r="B20">
        <v>5</v>
      </c>
      <c r="C20" t="s">
        <v>6</v>
      </c>
      <c r="D20" s="1">
        <v>30</v>
      </c>
      <c r="E20" s="1">
        <v>20</v>
      </c>
      <c r="F20" s="1">
        <v>35</v>
      </c>
      <c r="G20">
        <v>1750</v>
      </c>
      <c r="H20" s="1">
        <v>-15</v>
      </c>
      <c r="K20" s="5" t="s">
        <v>6</v>
      </c>
      <c r="L20" s="4">
        <v>3</v>
      </c>
    </row>
    <row r="21" spans="1:16" x14ac:dyDescent="0.25">
      <c r="A21">
        <v>10</v>
      </c>
      <c r="B21">
        <v>6</v>
      </c>
      <c r="C21" t="s">
        <v>7</v>
      </c>
      <c r="D21" s="1">
        <v>30</v>
      </c>
      <c r="E21" s="1">
        <v>20</v>
      </c>
      <c r="F21" s="1">
        <v>85</v>
      </c>
      <c r="G21">
        <v>4250</v>
      </c>
      <c r="H21" s="1">
        <v>35</v>
      </c>
      <c r="K21" s="5" t="s">
        <v>7</v>
      </c>
      <c r="L21" s="4">
        <v>3</v>
      </c>
    </row>
    <row r="22" spans="1:16" x14ac:dyDescent="0.25">
      <c r="A22">
        <v>10</v>
      </c>
      <c r="B22">
        <v>8</v>
      </c>
      <c r="C22" t="s">
        <v>9</v>
      </c>
      <c r="D22" s="1">
        <v>30</v>
      </c>
      <c r="E22" s="1">
        <v>20</v>
      </c>
      <c r="F22" s="1">
        <v>65</v>
      </c>
      <c r="G22">
        <v>3250</v>
      </c>
      <c r="H22" s="1">
        <v>15</v>
      </c>
      <c r="K22" s="5" t="s">
        <v>3</v>
      </c>
      <c r="L22" s="4">
        <v>2</v>
      </c>
    </row>
    <row r="23" spans="1:16" x14ac:dyDescent="0.25">
      <c r="A23">
        <v>10</v>
      </c>
      <c r="B23">
        <v>11</v>
      </c>
      <c r="C23" t="s">
        <v>12</v>
      </c>
      <c r="D23" s="1">
        <v>30</v>
      </c>
      <c r="E23" s="1">
        <v>20</v>
      </c>
      <c r="F23" s="1">
        <v>50</v>
      </c>
      <c r="G23">
        <v>2500</v>
      </c>
      <c r="H23" s="1">
        <v>0</v>
      </c>
      <c r="K23" s="5" t="s">
        <v>5</v>
      </c>
      <c r="L23" s="4">
        <v>1</v>
      </c>
    </row>
    <row r="24" spans="1:16" x14ac:dyDescent="0.25">
      <c r="A24">
        <v>11</v>
      </c>
      <c r="B24">
        <v>1</v>
      </c>
      <c r="C24" t="s">
        <v>2</v>
      </c>
      <c r="D24" s="1">
        <v>30</v>
      </c>
      <c r="E24" s="1">
        <v>20</v>
      </c>
      <c r="F24" s="1">
        <v>55</v>
      </c>
      <c r="G24">
        <v>2750</v>
      </c>
      <c r="H24" s="1">
        <v>5</v>
      </c>
      <c r="K24" s="5" t="s">
        <v>4</v>
      </c>
      <c r="L24" s="4">
        <v>1</v>
      </c>
    </row>
    <row r="25" spans="1:16" x14ac:dyDescent="0.25">
      <c r="A25">
        <v>11</v>
      </c>
      <c r="B25">
        <v>2</v>
      </c>
      <c r="C25" t="s">
        <v>3</v>
      </c>
      <c r="D25" s="1">
        <v>30</v>
      </c>
      <c r="E25" s="1">
        <v>20</v>
      </c>
      <c r="F25" s="1">
        <v>70</v>
      </c>
      <c r="G25">
        <v>3500</v>
      </c>
      <c r="H25" s="1">
        <v>20</v>
      </c>
      <c r="K25" s="5" t="s">
        <v>18</v>
      </c>
      <c r="L25" s="4">
        <v>14</v>
      </c>
    </row>
    <row r="26" spans="1:16" x14ac:dyDescent="0.25">
      <c r="A26">
        <v>11</v>
      </c>
      <c r="B26">
        <v>3</v>
      </c>
      <c r="C26" t="s">
        <v>4</v>
      </c>
      <c r="D26" s="1">
        <v>30</v>
      </c>
      <c r="E26" s="1">
        <v>20</v>
      </c>
      <c r="F26" s="1">
        <v>40</v>
      </c>
      <c r="G26">
        <v>2000</v>
      </c>
      <c r="H26" s="1">
        <v>-10</v>
      </c>
    </row>
    <row r="27" spans="1:16" x14ac:dyDescent="0.25">
      <c r="A27">
        <v>11</v>
      </c>
      <c r="B27">
        <v>5</v>
      </c>
      <c r="C27" t="s">
        <v>6</v>
      </c>
      <c r="D27" s="1">
        <v>30</v>
      </c>
      <c r="E27" s="1">
        <v>20</v>
      </c>
      <c r="F27" s="1">
        <v>30</v>
      </c>
      <c r="G27">
        <v>1500</v>
      </c>
      <c r="H27" s="1">
        <v>-20</v>
      </c>
      <c r="K27" s="35" t="s">
        <v>44</v>
      </c>
      <c r="L27" s="35"/>
      <c r="P27">
        <v>10</v>
      </c>
    </row>
    <row r="28" spans="1:16" x14ac:dyDescent="0.25">
      <c r="A28">
        <v>11</v>
      </c>
      <c r="B28">
        <v>6</v>
      </c>
      <c r="C28" t="s">
        <v>7</v>
      </c>
      <c r="D28" s="1">
        <v>30</v>
      </c>
      <c r="E28" s="1">
        <v>20</v>
      </c>
      <c r="F28" s="1">
        <v>60</v>
      </c>
      <c r="G28">
        <v>3000</v>
      </c>
      <c r="H28" s="1">
        <v>10</v>
      </c>
      <c r="K28" s="3" t="s">
        <v>33</v>
      </c>
      <c r="L28" s="4" t="s">
        <v>35</v>
      </c>
      <c r="M28" s="4" t="s">
        <v>76</v>
      </c>
      <c r="N28" s="4" t="s">
        <v>41</v>
      </c>
      <c r="O28" s="4" t="s">
        <v>77</v>
      </c>
      <c r="P28" s="4" t="s">
        <v>78</v>
      </c>
    </row>
    <row r="29" spans="1:16" x14ac:dyDescent="0.25">
      <c r="A29">
        <v>11</v>
      </c>
      <c r="B29">
        <v>7</v>
      </c>
      <c r="C29" t="s">
        <v>8</v>
      </c>
      <c r="D29" s="1">
        <v>30</v>
      </c>
      <c r="E29" s="1">
        <v>20</v>
      </c>
      <c r="F29" s="1">
        <v>55</v>
      </c>
      <c r="G29">
        <v>2750</v>
      </c>
      <c r="H29" s="1">
        <v>5</v>
      </c>
      <c r="K29" s="5" t="s">
        <v>7</v>
      </c>
      <c r="L29" s="24">
        <v>145</v>
      </c>
      <c r="M29" s="4">
        <v>7</v>
      </c>
      <c r="N29" s="25">
        <v>24750</v>
      </c>
      <c r="O29" s="26">
        <f>GETPIVOTDATA("[Measures].[Sum of League Points]",$K$28,"[qry_Player_Game_Stats_2026].[qry_Players.Player_Name]","[qry_Player_Game_Stats_2026].[qry_Players.Player_Name].&amp;[Kevin Lee]")/GETPIVOTDATA("[Measures].[Count of Game_ID]",$K$28,"[qry_Player_Game_Stats_2026].[qry_Players.Player_Name]","[qry_Player_Game_Stats_2026].[qry_Players.Player_Name].&amp;[Kevin Lee]")</f>
        <v>3535.7142857142858</v>
      </c>
      <c r="P29" s="26">
        <f>O29*$P$27</f>
        <v>35357.142857142855</v>
      </c>
    </row>
    <row r="30" spans="1:16" x14ac:dyDescent="0.25">
      <c r="A30">
        <v>11</v>
      </c>
      <c r="B30">
        <v>11</v>
      </c>
      <c r="C30" t="s">
        <v>12</v>
      </c>
      <c r="D30" s="1">
        <v>30</v>
      </c>
      <c r="E30" s="1">
        <v>20</v>
      </c>
      <c r="F30" s="1">
        <v>90</v>
      </c>
      <c r="G30">
        <v>4500</v>
      </c>
      <c r="H30" s="1">
        <v>40</v>
      </c>
      <c r="K30" s="5" t="s">
        <v>6</v>
      </c>
      <c r="L30" s="24">
        <v>135</v>
      </c>
      <c r="M30" s="4">
        <v>6</v>
      </c>
      <c r="N30" s="25">
        <v>21750</v>
      </c>
      <c r="O30" s="26">
        <f>GETPIVOTDATA("[Measures].[Sum of League Points]",$K$28,"[qry_Player_Game_Stats_2026].[qry_Players.Player_Name]","[qry_Player_Game_Stats_2026].[qry_Players.Player_Name].&amp;[Morgan Mooney]")/GETPIVOTDATA("[Measures].[Count of Game_ID]",$K$28,"[qry_Player_Game_Stats_2026].[qry_Players.Player_Name]","[qry_Player_Game_Stats_2026].[qry_Players.Player_Name].&amp;[Morgan Mooney]")</f>
        <v>3625</v>
      </c>
      <c r="P30" s="26">
        <f t="shared" ref="P30:P38" si="0">O30*$P$27</f>
        <v>36250</v>
      </c>
    </row>
    <row r="31" spans="1:16" x14ac:dyDescent="0.25">
      <c r="A31">
        <v>11</v>
      </c>
      <c r="B31">
        <v>12</v>
      </c>
      <c r="C31" t="s">
        <v>19</v>
      </c>
      <c r="D31" s="1">
        <v>30</v>
      </c>
      <c r="E31" s="1">
        <v>20</v>
      </c>
      <c r="F31" s="1">
        <v>0</v>
      </c>
      <c r="G31">
        <v>0</v>
      </c>
      <c r="H31" s="1">
        <v>-50</v>
      </c>
      <c r="K31" s="5" t="s">
        <v>3</v>
      </c>
      <c r="L31" s="24">
        <v>25</v>
      </c>
      <c r="M31" s="4">
        <v>5</v>
      </c>
      <c r="N31" s="25">
        <v>13750</v>
      </c>
      <c r="O31" s="26">
        <f>GETPIVOTDATA("[Measures].[Sum of League Points]",$K$28,"[qry_Player_Game_Stats_2026].[qry_Players.Player_Name]","[qry_Player_Game_Stats_2026].[qry_Players.Player_Name].&amp;[Ciaran Lynch]")/GETPIVOTDATA("[Measures].[Count of Game_ID]",$K$28,"[qry_Player_Game_Stats_2026].[qry_Players.Player_Name]","[qry_Player_Game_Stats_2026].[qry_Players.Player_Name].&amp;[Ciaran Lynch]")</f>
        <v>2750</v>
      </c>
      <c r="P31" s="26">
        <f t="shared" si="0"/>
        <v>27500</v>
      </c>
    </row>
    <row r="32" spans="1:16" x14ac:dyDescent="0.25">
      <c r="A32">
        <v>12</v>
      </c>
      <c r="B32">
        <v>1</v>
      </c>
      <c r="C32" t="s">
        <v>2</v>
      </c>
      <c r="D32" s="1">
        <v>30</v>
      </c>
      <c r="E32" s="1">
        <v>20</v>
      </c>
      <c r="F32" s="1">
        <v>65</v>
      </c>
      <c r="G32">
        <v>3250</v>
      </c>
      <c r="H32" s="1">
        <v>15</v>
      </c>
      <c r="K32" s="5" t="s">
        <v>9</v>
      </c>
      <c r="L32" s="24">
        <v>20</v>
      </c>
      <c r="M32" s="4">
        <v>3</v>
      </c>
      <c r="N32" s="25">
        <v>8500</v>
      </c>
      <c r="O32" s="26">
        <f>GETPIVOTDATA("[Measures].[Sum of League Points]",$K$28,"[qry_Player_Game_Stats_2026].[qry_Players.Player_Name]","[qry_Player_Game_Stats_2026].[qry_Players.Player_Name].&amp;[Steven Black]")/GETPIVOTDATA("[Measures].[Count of Game_ID]",$K$28,"[qry_Player_Game_Stats_2026].[qry_Players.Player_Name]","[qry_Player_Game_Stats_2026].[qry_Players.Player_Name].&amp;[Steven Black]")</f>
        <v>2833.3333333333335</v>
      </c>
      <c r="P32" s="26">
        <f t="shared" si="0"/>
        <v>28333.333333333336</v>
      </c>
    </row>
    <row r="33" spans="1:16" x14ac:dyDescent="0.25">
      <c r="A33">
        <v>12</v>
      </c>
      <c r="B33">
        <v>2</v>
      </c>
      <c r="C33" t="s">
        <v>3</v>
      </c>
      <c r="D33" s="1">
        <v>30</v>
      </c>
      <c r="E33" s="1">
        <v>20</v>
      </c>
      <c r="F33" s="1">
        <v>70</v>
      </c>
      <c r="G33">
        <v>3500</v>
      </c>
      <c r="H33" s="1">
        <v>20</v>
      </c>
      <c r="K33" s="5" t="s">
        <v>4</v>
      </c>
      <c r="L33" s="24">
        <v>15</v>
      </c>
      <c r="M33" s="4">
        <v>7</v>
      </c>
      <c r="N33" s="25">
        <v>18250</v>
      </c>
      <c r="O33" s="26">
        <f>GETPIVOTDATA("[Measures].[Sum of League Points]",$K$28,"[qry_Player_Game_Stats_2026].[qry_Players.Player_Name]","[qry_Player_Game_Stats_2026].[qry_Players.Player_Name].&amp;[Barry Hunter]")/GETPIVOTDATA("[Measures].[Count of Game_ID]",$K$28,"[qry_Player_Game_Stats_2026].[qry_Players.Player_Name]","[qry_Player_Game_Stats_2026].[qry_Players.Player_Name].&amp;[Barry Hunter]")</f>
        <v>2607.1428571428573</v>
      </c>
      <c r="P33" s="26">
        <f t="shared" si="0"/>
        <v>26071.428571428572</v>
      </c>
    </row>
    <row r="34" spans="1:16" x14ac:dyDescent="0.25">
      <c r="A34">
        <v>12</v>
      </c>
      <c r="B34">
        <v>3</v>
      </c>
      <c r="C34" t="s">
        <v>4</v>
      </c>
      <c r="D34" s="1">
        <v>30</v>
      </c>
      <c r="E34" s="1">
        <v>20</v>
      </c>
      <c r="F34" s="1">
        <v>50</v>
      </c>
      <c r="G34">
        <v>2500</v>
      </c>
      <c r="H34" s="1">
        <v>0</v>
      </c>
      <c r="K34" s="5" t="s">
        <v>2</v>
      </c>
      <c r="L34" s="24">
        <v>-40</v>
      </c>
      <c r="M34" s="4">
        <v>7</v>
      </c>
      <c r="N34" s="25">
        <v>15500</v>
      </c>
      <c r="O34" s="26">
        <f>GETPIVOTDATA("[Measures].[Sum of League Points]",$K$28,"[qry_Player_Game_Stats_2026].[qry_Players.Player_Name]","[qry_Player_Game_Stats_2026].[qry_Players.Player_Name].&amp;[Martin Hunter]")/GETPIVOTDATA("[Measures].[Count of Game_ID]",$K$28,"[qry_Player_Game_Stats_2026].[qry_Players.Player_Name]","[qry_Player_Game_Stats_2026].[qry_Players.Player_Name].&amp;[Martin Hunter]")</f>
        <v>2214.2857142857142</v>
      </c>
      <c r="P34" s="26">
        <f t="shared" si="0"/>
        <v>22142.857142857141</v>
      </c>
    </row>
    <row r="35" spans="1:16" x14ac:dyDescent="0.25">
      <c r="A35">
        <v>12</v>
      </c>
      <c r="B35">
        <v>4</v>
      </c>
      <c r="C35" t="s">
        <v>5</v>
      </c>
      <c r="D35" s="1">
        <v>30</v>
      </c>
      <c r="E35" s="1">
        <v>20</v>
      </c>
      <c r="F35" s="1">
        <v>0</v>
      </c>
      <c r="G35">
        <v>0</v>
      </c>
      <c r="H35" s="1">
        <v>-50</v>
      </c>
      <c r="K35" s="5" t="s">
        <v>5</v>
      </c>
      <c r="L35" s="24">
        <v>-40</v>
      </c>
      <c r="M35" s="4">
        <v>3</v>
      </c>
      <c r="N35" s="25">
        <v>5500</v>
      </c>
      <c r="O35" s="26">
        <f>GETPIVOTDATA("[Measures].[Sum of League Points]",$K$28,"[qry_Player_Game_Stats_2026].[qry_Players.Player_Name]","[qry_Player_Game_Stats_2026].[qry_Players.Player_Name].&amp;[Seamus Diver]")/GETPIVOTDATA("[Measures].[Count of Game_ID]",$K$28,"[qry_Player_Game_Stats_2026].[qry_Players.Player_Name]","[qry_Player_Game_Stats_2026].[qry_Players.Player_Name].&amp;[Seamus Diver]")</f>
        <v>1833.3333333333333</v>
      </c>
      <c r="P35" s="26">
        <f t="shared" si="0"/>
        <v>18333.333333333332</v>
      </c>
    </row>
    <row r="36" spans="1:16" x14ac:dyDescent="0.25">
      <c r="A36">
        <v>12</v>
      </c>
      <c r="B36">
        <v>5</v>
      </c>
      <c r="C36" t="s">
        <v>6</v>
      </c>
      <c r="D36" s="1">
        <v>30</v>
      </c>
      <c r="E36" s="1">
        <v>20</v>
      </c>
      <c r="F36" s="1">
        <v>45</v>
      </c>
      <c r="G36">
        <v>2250</v>
      </c>
      <c r="H36" s="1">
        <v>-5</v>
      </c>
      <c r="K36" s="5" t="s">
        <v>8</v>
      </c>
      <c r="L36" s="24">
        <v>-40</v>
      </c>
      <c r="M36" s="4">
        <v>5</v>
      </c>
      <c r="N36" s="25">
        <v>10500</v>
      </c>
      <c r="O36" s="26">
        <f>GETPIVOTDATA("[Measures].[Sum of League Points]",$K$28,"[qry_Player_Game_Stats_2026].[qry_Players.Player_Name]","[qry_Player_Game_Stats_2026].[qry_Players.Player_Name].&amp;[Brendan Stevenson]")/GETPIVOTDATA("[Measures].[Count of Game_ID]",$K$28,"[qry_Player_Game_Stats_2026].[qry_Players.Player_Name]","[qry_Player_Game_Stats_2026].[qry_Players.Player_Name].&amp;[Brendan Stevenson]")</f>
        <v>2100</v>
      </c>
      <c r="P36" s="26">
        <f t="shared" si="0"/>
        <v>21000</v>
      </c>
    </row>
    <row r="37" spans="1:16" x14ac:dyDescent="0.25">
      <c r="A37">
        <v>12</v>
      </c>
      <c r="B37">
        <v>6</v>
      </c>
      <c r="C37" t="s">
        <v>7</v>
      </c>
      <c r="D37" s="1">
        <v>30</v>
      </c>
      <c r="E37" s="1">
        <v>20</v>
      </c>
      <c r="F37" s="1">
        <v>125</v>
      </c>
      <c r="G37">
        <v>6250</v>
      </c>
      <c r="H37" s="1">
        <v>75</v>
      </c>
      <c r="K37" s="5" t="s">
        <v>12</v>
      </c>
      <c r="L37" s="24">
        <v>-50</v>
      </c>
      <c r="M37" s="4">
        <v>5</v>
      </c>
      <c r="N37" s="25">
        <v>10000</v>
      </c>
      <c r="O37" s="26">
        <f>GETPIVOTDATA("[Measures].[Sum of League Points]",$K$28,"[qry_Player_Game_Stats_2026].[qry_Players.Player_Name]","[qry_Player_Game_Stats_2026].[qry_Players.Player_Name].&amp;[Mark Hunter]")/GETPIVOTDATA("[Measures].[Count of Game_ID]",$K$28,"[qry_Player_Game_Stats_2026].[qry_Players.Player_Name]","[qry_Player_Game_Stats_2026].[qry_Players.Player_Name].&amp;[Mark Hunter]")</f>
        <v>2000</v>
      </c>
      <c r="P37" s="26">
        <f t="shared" si="0"/>
        <v>20000</v>
      </c>
    </row>
    <row r="38" spans="1:16" x14ac:dyDescent="0.25">
      <c r="A38">
        <v>12</v>
      </c>
      <c r="B38">
        <v>7</v>
      </c>
      <c r="C38" t="s">
        <v>8</v>
      </c>
      <c r="D38" s="1">
        <v>30</v>
      </c>
      <c r="E38" s="1">
        <v>20</v>
      </c>
      <c r="F38" s="1">
        <v>50</v>
      </c>
      <c r="G38">
        <v>2500</v>
      </c>
      <c r="H38" s="1">
        <v>0</v>
      </c>
      <c r="K38" s="5" t="s">
        <v>19</v>
      </c>
      <c r="L38" s="24">
        <v>-165</v>
      </c>
      <c r="M38" s="4">
        <v>4</v>
      </c>
      <c r="N38" s="25">
        <v>1750</v>
      </c>
      <c r="O38" s="26">
        <f>GETPIVOTDATA("[Measures].[Sum of League Points]",$K$28,"[qry_Player_Game_Stats_2026].[qry_Players.Player_Name]","[qry_Player_Game_Stats_2026].[qry_Players.Player_Name].&amp;[Ryan Mc Elchar]")/GETPIVOTDATA("[Measures].[Count of Game_ID]",$K$28,"[qry_Player_Game_Stats_2026].[qry_Players.Player_Name]","[qry_Player_Game_Stats_2026].[qry_Players.Player_Name].&amp;[Ryan Mc Elchar]")</f>
        <v>437.5</v>
      </c>
      <c r="P38" s="26">
        <f t="shared" si="0"/>
        <v>4375</v>
      </c>
    </row>
    <row r="39" spans="1:16" x14ac:dyDescent="0.25">
      <c r="A39">
        <v>12</v>
      </c>
      <c r="B39">
        <v>8</v>
      </c>
      <c r="C39" t="s">
        <v>9</v>
      </c>
      <c r="D39" s="1">
        <v>30</v>
      </c>
      <c r="E39" s="1">
        <v>20</v>
      </c>
      <c r="F39" s="1">
        <v>0</v>
      </c>
      <c r="G39">
        <v>0</v>
      </c>
      <c r="H39" s="1">
        <v>-50</v>
      </c>
      <c r="K39" s="5" t="s">
        <v>18</v>
      </c>
      <c r="L39" s="24">
        <v>5</v>
      </c>
      <c r="M39" s="4">
        <v>52</v>
      </c>
      <c r="N39" s="25">
        <v>130250</v>
      </c>
      <c r="O39" s="26">
        <f>AVERAGE(O29:O38)</f>
        <v>2393.6309523809523</v>
      </c>
      <c r="P39" s="26">
        <f>SUM(P29:P38)</f>
        <v>239363.09523809524</v>
      </c>
    </row>
    <row r="40" spans="1:16" x14ac:dyDescent="0.25">
      <c r="A40">
        <v>13</v>
      </c>
      <c r="B40">
        <v>1</v>
      </c>
      <c r="C40" t="s">
        <v>2</v>
      </c>
      <c r="D40" s="1">
        <v>30</v>
      </c>
      <c r="E40" s="1">
        <v>20</v>
      </c>
      <c r="F40" s="1">
        <v>100</v>
      </c>
      <c r="G40">
        <v>5000</v>
      </c>
      <c r="H40" s="1">
        <v>50</v>
      </c>
    </row>
    <row r="41" spans="1:16" x14ac:dyDescent="0.25">
      <c r="A41">
        <v>13</v>
      </c>
      <c r="B41">
        <v>3</v>
      </c>
      <c r="C41" t="s">
        <v>4</v>
      </c>
      <c r="D41" s="1">
        <v>30</v>
      </c>
      <c r="E41" s="1">
        <v>20</v>
      </c>
      <c r="F41" s="1">
        <v>65</v>
      </c>
      <c r="G41">
        <v>3250</v>
      </c>
      <c r="H41" s="1">
        <v>15</v>
      </c>
    </row>
    <row r="42" spans="1:16" x14ac:dyDescent="0.25">
      <c r="A42">
        <v>13</v>
      </c>
      <c r="B42">
        <v>4</v>
      </c>
      <c r="C42" t="s">
        <v>5</v>
      </c>
      <c r="D42" s="1">
        <v>30</v>
      </c>
      <c r="E42" s="1">
        <v>20</v>
      </c>
      <c r="F42" s="1">
        <v>45</v>
      </c>
      <c r="G42">
        <v>2250</v>
      </c>
      <c r="H42" s="1">
        <v>-5</v>
      </c>
    </row>
    <row r="43" spans="1:16" x14ac:dyDescent="0.25">
      <c r="A43">
        <v>13</v>
      </c>
      <c r="B43">
        <v>6</v>
      </c>
      <c r="C43" t="s">
        <v>7</v>
      </c>
      <c r="D43" s="1">
        <v>30</v>
      </c>
      <c r="E43" s="1">
        <v>20</v>
      </c>
      <c r="F43" s="1">
        <v>85</v>
      </c>
      <c r="G43">
        <v>4250</v>
      </c>
      <c r="H43" s="1">
        <v>35</v>
      </c>
    </row>
    <row r="44" spans="1:16" x14ac:dyDescent="0.25">
      <c r="A44">
        <v>13</v>
      </c>
      <c r="B44">
        <v>7</v>
      </c>
      <c r="C44" t="s">
        <v>8</v>
      </c>
      <c r="D44" s="1">
        <v>30</v>
      </c>
      <c r="E44" s="1">
        <v>20</v>
      </c>
      <c r="F44" s="1">
        <v>55</v>
      </c>
      <c r="G44">
        <v>2750</v>
      </c>
      <c r="H44" s="1">
        <v>5</v>
      </c>
    </row>
    <row r="45" spans="1:16" x14ac:dyDescent="0.25">
      <c r="A45">
        <v>13</v>
      </c>
      <c r="B45">
        <v>11</v>
      </c>
      <c r="C45" t="s">
        <v>12</v>
      </c>
      <c r="D45" s="1">
        <v>30</v>
      </c>
      <c r="E45" s="1">
        <v>20</v>
      </c>
      <c r="F45" s="1">
        <v>0</v>
      </c>
      <c r="G45">
        <v>0</v>
      </c>
      <c r="H45" s="1">
        <v>-50</v>
      </c>
    </row>
    <row r="46" spans="1:16" x14ac:dyDescent="0.25">
      <c r="A46">
        <v>13</v>
      </c>
      <c r="B46">
        <v>12</v>
      </c>
      <c r="C46" t="s">
        <v>19</v>
      </c>
      <c r="D46" s="1">
        <v>30</v>
      </c>
      <c r="E46" s="1">
        <v>20</v>
      </c>
      <c r="F46" s="1">
        <v>0</v>
      </c>
      <c r="G46">
        <v>0</v>
      </c>
      <c r="H46" s="1">
        <v>-50</v>
      </c>
    </row>
    <row r="47" spans="1:16" x14ac:dyDescent="0.25">
      <c r="A47">
        <v>14</v>
      </c>
      <c r="B47">
        <v>1</v>
      </c>
      <c r="C47" t="s">
        <v>2</v>
      </c>
      <c r="D47" s="1">
        <v>30</v>
      </c>
      <c r="E47" s="1">
        <v>20</v>
      </c>
      <c r="F47" s="1">
        <v>35</v>
      </c>
      <c r="G47">
        <v>1750</v>
      </c>
      <c r="H47" s="1">
        <v>-15</v>
      </c>
    </row>
    <row r="48" spans="1:16" x14ac:dyDescent="0.25">
      <c r="A48">
        <v>14</v>
      </c>
      <c r="B48">
        <v>3</v>
      </c>
      <c r="C48" t="s">
        <v>4</v>
      </c>
      <c r="D48" s="1">
        <v>30</v>
      </c>
      <c r="E48" s="1">
        <v>20</v>
      </c>
      <c r="F48" s="1">
        <v>80</v>
      </c>
      <c r="G48">
        <v>4000</v>
      </c>
      <c r="H48" s="1">
        <v>30</v>
      </c>
    </row>
    <row r="49" spans="1:8" x14ac:dyDescent="0.25">
      <c r="A49">
        <v>14</v>
      </c>
      <c r="B49">
        <v>4</v>
      </c>
      <c r="C49" t="s">
        <v>5</v>
      </c>
      <c r="D49" s="1">
        <v>30</v>
      </c>
      <c r="E49" s="1">
        <v>20</v>
      </c>
      <c r="F49" s="1">
        <v>65</v>
      </c>
      <c r="G49">
        <v>3250</v>
      </c>
      <c r="H49" s="1">
        <v>15</v>
      </c>
    </row>
    <row r="50" spans="1:8" x14ac:dyDescent="0.25">
      <c r="A50">
        <v>14</v>
      </c>
      <c r="B50">
        <v>5</v>
      </c>
      <c r="C50" t="s">
        <v>6</v>
      </c>
      <c r="D50" s="1">
        <v>30</v>
      </c>
      <c r="E50" s="1">
        <v>20</v>
      </c>
      <c r="F50" s="1">
        <v>160</v>
      </c>
      <c r="G50">
        <v>8000</v>
      </c>
      <c r="H50" s="1">
        <v>110</v>
      </c>
    </row>
    <row r="51" spans="1:8" x14ac:dyDescent="0.25">
      <c r="A51">
        <v>14</v>
      </c>
      <c r="B51">
        <v>7</v>
      </c>
      <c r="C51" t="s">
        <v>8</v>
      </c>
      <c r="D51" s="1">
        <v>30</v>
      </c>
      <c r="E51" s="1">
        <v>20</v>
      </c>
      <c r="F51" s="1">
        <v>0</v>
      </c>
      <c r="G51">
        <v>0</v>
      </c>
      <c r="H51" s="1">
        <v>-50</v>
      </c>
    </row>
    <row r="52" spans="1:8" x14ac:dyDescent="0.25">
      <c r="A52">
        <v>14</v>
      </c>
      <c r="B52">
        <v>12</v>
      </c>
      <c r="C52" t="s">
        <v>19</v>
      </c>
      <c r="D52" s="1">
        <v>30</v>
      </c>
      <c r="E52" s="1">
        <v>20</v>
      </c>
      <c r="F52" s="1">
        <v>10</v>
      </c>
      <c r="G52">
        <v>500</v>
      </c>
      <c r="H52" s="1">
        <v>-40</v>
      </c>
    </row>
    <row r="53" spans="1:8" x14ac:dyDescent="0.25">
      <c r="A53">
        <v>14</v>
      </c>
      <c r="B53">
        <v>6</v>
      </c>
      <c r="C53" t="s">
        <v>7</v>
      </c>
      <c r="D53" s="1">
        <v>30</v>
      </c>
      <c r="E53" s="1">
        <v>20</v>
      </c>
      <c r="F53" s="1">
        <v>0</v>
      </c>
      <c r="G53">
        <v>0</v>
      </c>
      <c r="H53" s="1">
        <v>-50</v>
      </c>
    </row>
    <row r="54" spans="1:8" x14ac:dyDescent="0.25">
      <c r="A54" t="s">
        <v>20</v>
      </c>
      <c r="C54">
        <f>SUBTOTAL(103,qry_Player_Game_Stats_2026[qry_Players.Player_Name])</f>
        <v>52</v>
      </c>
      <c r="D54" s="1">
        <f>SUBTOTAL(109,qry_Player_Game_Stats_2026[BuyIn])</f>
        <v>1560</v>
      </c>
      <c r="E54" s="1">
        <f>SUBTOTAL(109,qry_Player_Game_Stats_2026[Rebuy])</f>
        <v>1040</v>
      </c>
      <c r="F54" s="1">
        <f>SUBTOTAL(109,qry_Player_Game_Stats_2026[CashOut])</f>
        <v>2605</v>
      </c>
      <c r="G54">
        <f>SUBTOTAL(109,qry_Player_Game_Stats_2026[League Points])</f>
        <v>130250</v>
      </c>
      <c r="H54" s="1">
        <f>SUBTOTAL(109,qry_Player_Game_Stats_2026[ROI])</f>
        <v>5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workbookViewId="0">
      <selection activeCell="D15" sqref="D15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45</v>
      </c>
      <c r="B1" t="s">
        <v>36</v>
      </c>
      <c r="C1" t="s">
        <v>46</v>
      </c>
      <c r="D1" t="s">
        <v>47</v>
      </c>
      <c r="E1" t="s">
        <v>48</v>
      </c>
    </row>
    <row r="2" spans="1:5" x14ac:dyDescent="0.25">
      <c r="A2">
        <v>6</v>
      </c>
      <c r="B2" t="s">
        <v>7</v>
      </c>
      <c r="C2" s="1">
        <v>880</v>
      </c>
      <c r="D2">
        <v>14</v>
      </c>
      <c r="E2" s="1">
        <v>62.857100000000003</v>
      </c>
    </row>
    <row r="3" spans="1:5" x14ac:dyDescent="0.25">
      <c r="A3">
        <v>2</v>
      </c>
      <c r="B3" t="s">
        <v>3</v>
      </c>
      <c r="C3" s="1">
        <v>435</v>
      </c>
      <c r="D3">
        <v>7</v>
      </c>
      <c r="E3" s="1">
        <v>62.142899999999997</v>
      </c>
    </row>
    <row r="4" spans="1:5" x14ac:dyDescent="0.25">
      <c r="A4">
        <v>5</v>
      </c>
      <c r="B4" t="s">
        <v>6</v>
      </c>
      <c r="C4" s="1">
        <v>650</v>
      </c>
      <c r="D4">
        <v>13</v>
      </c>
      <c r="E4" s="1">
        <v>50</v>
      </c>
    </row>
    <row r="5" spans="1:5" x14ac:dyDescent="0.25">
      <c r="A5">
        <v>7</v>
      </c>
      <c r="B5" t="s">
        <v>8</v>
      </c>
      <c r="C5" s="1">
        <v>445</v>
      </c>
      <c r="D5">
        <v>10</v>
      </c>
      <c r="E5" s="1">
        <v>44.5</v>
      </c>
    </row>
    <row r="6" spans="1:5" x14ac:dyDescent="0.25">
      <c r="A6">
        <v>1</v>
      </c>
      <c r="B6" t="s">
        <v>2</v>
      </c>
      <c r="C6" s="1">
        <v>605</v>
      </c>
      <c r="D6">
        <v>14</v>
      </c>
      <c r="E6" s="1">
        <v>43.214300000000001</v>
      </c>
    </row>
    <row r="7" spans="1:5" x14ac:dyDescent="0.25">
      <c r="A7">
        <v>3</v>
      </c>
      <c r="B7" t="s">
        <v>4</v>
      </c>
      <c r="C7" s="1">
        <v>530</v>
      </c>
      <c r="D7">
        <v>14</v>
      </c>
      <c r="E7" s="1">
        <v>37.857100000000003</v>
      </c>
    </row>
    <row r="8" spans="1:5" x14ac:dyDescent="0.25">
      <c r="A8">
        <v>8</v>
      </c>
      <c r="B8" t="s">
        <v>9</v>
      </c>
      <c r="C8" s="1">
        <v>260</v>
      </c>
      <c r="D8">
        <v>7</v>
      </c>
      <c r="E8" s="1">
        <v>37.142899999999997</v>
      </c>
    </row>
    <row r="9" spans="1:5" x14ac:dyDescent="0.25">
      <c r="A9">
        <v>4</v>
      </c>
      <c r="B9" t="s">
        <v>5</v>
      </c>
      <c r="C9" s="1">
        <v>260</v>
      </c>
      <c r="D9">
        <v>7</v>
      </c>
      <c r="E9" s="1">
        <v>37.142899999999997</v>
      </c>
    </row>
    <row r="10" spans="1:5" x14ac:dyDescent="0.25">
      <c r="A10">
        <v>11</v>
      </c>
      <c r="B10" t="s">
        <v>12</v>
      </c>
      <c r="C10" s="1">
        <v>305</v>
      </c>
      <c r="D10">
        <v>10</v>
      </c>
      <c r="E10" s="1">
        <v>30.5</v>
      </c>
    </row>
    <row r="11" spans="1:5" x14ac:dyDescent="0.25">
      <c r="A11">
        <v>12</v>
      </c>
      <c r="B11" t="s">
        <v>19</v>
      </c>
      <c r="C11" s="1">
        <v>35</v>
      </c>
      <c r="D11">
        <v>5</v>
      </c>
      <c r="E11" s="1">
        <v>7</v>
      </c>
    </row>
    <row r="12" spans="1:5" x14ac:dyDescent="0.25">
      <c r="A12" t="s">
        <v>20</v>
      </c>
      <c r="C12" s="1">
        <f>SUBTOTAL(101,Top_10_per_player_for_2025_and_2026[Total_Cash_Out])</f>
        <v>440.5</v>
      </c>
      <c r="D12">
        <f>SUBTOTAL(101,Top_10_per_player_for_2025_and_2026[Games_Played])</f>
        <v>10.1</v>
      </c>
      <c r="E12" s="1">
        <f>SUBTOTAL(101,Top_10_per_player_for_2025_and_2026[Average Cash Per Game 2025 - 2026])</f>
        <v>41.235720000000001</v>
      </c>
    </row>
    <row r="14" spans="1:5" x14ac:dyDescent="0.25">
      <c r="A14" t="s">
        <v>52</v>
      </c>
    </row>
    <row r="15" spans="1:5" ht="19.5" customHeight="1" x14ac:dyDescent="0.25"/>
    <row r="16" spans="1:5" x14ac:dyDescent="0.25">
      <c r="A16" s="3" t="s">
        <v>40</v>
      </c>
      <c r="B16" s="4" t="s">
        <v>49</v>
      </c>
    </row>
    <row r="17" spans="1:2" x14ac:dyDescent="0.25">
      <c r="A17" s="5" t="s">
        <v>7</v>
      </c>
      <c r="B17" s="6">
        <v>62.857100000000003</v>
      </c>
    </row>
    <row r="18" spans="1:2" x14ac:dyDescent="0.25">
      <c r="A18" s="5" t="s">
        <v>3</v>
      </c>
      <c r="B18" s="6">
        <v>62.142899999999997</v>
      </c>
    </row>
    <row r="19" spans="1:2" x14ac:dyDescent="0.25">
      <c r="A19" s="5" t="s">
        <v>6</v>
      </c>
      <c r="B19" s="6">
        <v>50</v>
      </c>
    </row>
    <row r="20" spans="1:2" x14ac:dyDescent="0.25">
      <c r="A20" s="5" t="s">
        <v>8</v>
      </c>
      <c r="B20" s="6">
        <v>44.5</v>
      </c>
    </row>
    <row r="21" spans="1:2" x14ac:dyDescent="0.25">
      <c r="A21" s="5" t="s">
        <v>2</v>
      </c>
      <c r="B21" s="6">
        <v>43.214300000000001</v>
      </c>
    </row>
    <row r="22" spans="1:2" x14ac:dyDescent="0.25">
      <c r="A22" s="5" t="s">
        <v>4</v>
      </c>
      <c r="B22" s="6">
        <v>37.857100000000003</v>
      </c>
    </row>
    <row r="23" spans="1:2" x14ac:dyDescent="0.25">
      <c r="A23" s="5" t="s">
        <v>5</v>
      </c>
      <c r="B23" s="6">
        <v>37.142899999999997</v>
      </c>
    </row>
    <row r="24" spans="1:2" x14ac:dyDescent="0.25">
      <c r="A24" s="5" t="s">
        <v>9</v>
      </c>
      <c r="B24" s="6">
        <v>37.142899999999997</v>
      </c>
    </row>
    <row r="25" spans="1:2" x14ac:dyDescent="0.25">
      <c r="A25" s="5" t="s">
        <v>12</v>
      </c>
      <c r="B25" s="6">
        <v>30.5</v>
      </c>
    </row>
    <row r="26" spans="1:2" x14ac:dyDescent="0.25">
      <c r="A26" s="5" t="s">
        <v>19</v>
      </c>
      <c r="B26" s="6">
        <v>7</v>
      </c>
    </row>
    <row r="27" spans="1:2" x14ac:dyDescent="0.25">
      <c r="A27" s="5" t="s">
        <v>18</v>
      </c>
      <c r="B27" s="6">
        <v>412.35719999999998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1"/>
  <sheetViews>
    <sheetView workbookViewId="0">
      <selection activeCell="K20" sqref="K20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  <col min="6" max="10" width="7.5703125" bestFit="1" customWidth="1"/>
    <col min="11" max="11" width="6.5703125" bestFit="1" customWidth="1"/>
    <col min="12" max="12" width="11.28515625" bestFit="1" customWidth="1"/>
  </cols>
  <sheetData>
    <row r="1" spans="1:5" x14ac:dyDescent="0.25">
      <c r="A1" t="s">
        <v>22</v>
      </c>
      <c r="B1" t="s">
        <v>36</v>
      </c>
      <c r="C1" t="s">
        <v>50</v>
      </c>
      <c r="D1" t="s">
        <v>51</v>
      </c>
      <c r="E1" t="s">
        <v>32</v>
      </c>
    </row>
    <row r="2" spans="1:5" x14ac:dyDescent="0.25">
      <c r="A2">
        <v>6</v>
      </c>
      <c r="B2" t="s">
        <v>7</v>
      </c>
      <c r="C2" s="1">
        <v>495</v>
      </c>
      <c r="D2">
        <v>7</v>
      </c>
      <c r="E2">
        <v>24750</v>
      </c>
    </row>
    <row r="3" spans="1:5" x14ac:dyDescent="0.25">
      <c r="A3">
        <v>5</v>
      </c>
      <c r="B3" t="s">
        <v>6</v>
      </c>
      <c r="C3" s="1">
        <v>435</v>
      </c>
      <c r="D3">
        <v>6</v>
      </c>
      <c r="E3">
        <v>21750</v>
      </c>
    </row>
    <row r="4" spans="1:5" x14ac:dyDescent="0.25">
      <c r="A4">
        <v>3</v>
      </c>
      <c r="B4" t="s">
        <v>4</v>
      </c>
      <c r="C4" s="1">
        <v>365</v>
      </c>
      <c r="D4">
        <v>7</v>
      </c>
      <c r="E4">
        <v>18250</v>
      </c>
    </row>
    <row r="5" spans="1:5" x14ac:dyDescent="0.25">
      <c r="A5">
        <v>1</v>
      </c>
      <c r="B5" t="s">
        <v>2</v>
      </c>
      <c r="C5" s="1">
        <v>310</v>
      </c>
      <c r="D5">
        <v>7</v>
      </c>
      <c r="E5">
        <v>15500</v>
      </c>
    </row>
    <row r="6" spans="1:5" x14ac:dyDescent="0.25">
      <c r="A6">
        <v>2</v>
      </c>
      <c r="B6" t="s">
        <v>3</v>
      </c>
      <c r="C6" s="1">
        <v>275</v>
      </c>
      <c r="D6">
        <v>5</v>
      </c>
      <c r="E6">
        <v>13750</v>
      </c>
    </row>
    <row r="7" spans="1:5" x14ac:dyDescent="0.25">
      <c r="A7">
        <v>7</v>
      </c>
      <c r="B7" t="s">
        <v>8</v>
      </c>
      <c r="C7" s="1">
        <v>210</v>
      </c>
      <c r="D7">
        <v>5</v>
      </c>
      <c r="E7">
        <v>10500</v>
      </c>
    </row>
    <row r="8" spans="1:5" x14ac:dyDescent="0.25">
      <c r="A8">
        <v>11</v>
      </c>
      <c r="B8" t="s">
        <v>12</v>
      </c>
      <c r="C8" s="1">
        <v>200</v>
      </c>
      <c r="D8">
        <v>5</v>
      </c>
      <c r="E8">
        <v>10000</v>
      </c>
    </row>
    <row r="9" spans="1:5" x14ac:dyDescent="0.25">
      <c r="A9">
        <v>8</v>
      </c>
      <c r="B9" t="s">
        <v>9</v>
      </c>
      <c r="C9" s="1">
        <v>170</v>
      </c>
      <c r="D9">
        <v>3</v>
      </c>
      <c r="E9">
        <v>8500</v>
      </c>
    </row>
    <row r="10" spans="1:5" x14ac:dyDescent="0.25">
      <c r="A10">
        <v>4</v>
      </c>
      <c r="B10" t="s">
        <v>5</v>
      </c>
      <c r="C10" s="1">
        <v>110</v>
      </c>
      <c r="D10">
        <v>3</v>
      </c>
      <c r="E10">
        <v>5500</v>
      </c>
    </row>
    <row r="11" spans="1:5" x14ac:dyDescent="0.25">
      <c r="A11">
        <v>12</v>
      </c>
      <c r="B11" t="s">
        <v>19</v>
      </c>
      <c r="C11" s="1">
        <v>35</v>
      </c>
      <c r="D11">
        <v>4</v>
      </c>
      <c r="E11">
        <v>1750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V54"/>
  <sheetViews>
    <sheetView topLeftCell="A22" workbookViewId="0">
      <selection activeCell="B12" sqref="B12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0.42578125" bestFit="1" customWidth="1"/>
    <col min="4" max="4" width="12" bestFit="1" customWidth="1"/>
    <col min="5" max="5" width="11.140625" bestFit="1" customWidth="1"/>
    <col min="6" max="6" width="16" bestFit="1" customWidth="1"/>
    <col min="7" max="7" width="7" customWidth="1"/>
    <col min="8" max="9" width="2.28515625" customWidth="1"/>
    <col min="10" max="10" width="4" customWidth="1"/>
    <col min="11" max="11" width="20.5703125" bestFit="1" customWidth="1"/>
    <col min="12" max="12" width="16.85546875" bestFit="1" customWidth="1"/>
    <col min="13" max="13" width="18.7109375" bestFit="1" customWidth="1"/>
    <col min="14" max="14" width="12.5703125" bestFit="1" customWidth="1"/>
    <col min="15" max="15" width="9.7109375" bestFit="1" customWidth="1"/>
    <col min="16" max="16" width="12" bestFit="1" customWidth="1"/>
    <col min="17" max="17" width="13.5703125" bestFit="1" customWidth="1"/>
    <col min="18" max="18" width="15.28515625" bestFit="1" customWidth="1"/>
    <col min="19" max="19" width="14.5703125" bestFit="1" customWidth="1"/>
    <col min="20" max="20" width="13.5703125" bestFit="1" customWidth="1"/>
    <col min="21" max="21" width="12.42578125" bestFit="1" customWidth="1"/>
    <col min="22" max="22" width="11.28515625" bestFit="1" customWidth="1"/>
  </cols>
  <sheetData>
    <row r="1" spans="1:22" x14ac:dyDescent="0.25">
      <c r="A1" t="s">
        <v>22</v>
      </c>
      <c r="B1" t="s">
        <v>36</v>
      </c>
      <c r="C1" t="s">
        <v>53</v>
      </c>
      <c r="D1" t="s">
        <v>54</v>
      </c>
      <c r="E1" t="s">
        <v>17</v>
      </c>
      <c r="F1" t="s">
        <v>39</v>
      </c>
    </row>
    <row r="2" spans="1:22" x14ac:dyDescent="0.25">
      <c r="A2">
        <v>1</v>
      </c>
      <c r="B2" t="s">
        <v>2</v>
      </c>
      <c r="C2" s="2">
        <v>46136</v>
      </c>
      <c r="D2">
        <v>13</v>
      </c>
      <c r="E2" s="1">
        <v>100</v>
      </c>
      <c r="F2">
        <v>5000</v>
      </c>
      <c r="K2" s="8" t="s">
        <v>41</v>
      </c>
      <c r="L2" s="8" t="s">
        <v>55</v>
      </c>
    </row>
    <row r="3" spans="1:22" x14ac:dyDescent="0.25">
      <c r="A3">
        <v>1</v>
      </c>
      <c r="B3" t="s">
        <v>2</v>
      </c>
      <c r="C3" s="2">
        <v>46115</v>
      </c>
      <c r="D3">
        <v>12</v>
      </c>
      <c r="E3" s="1">
        <v>65</v>
      </c>
      <c r="F3">
        <v>3250</v>
      </c>
      <c r="K3" s="8" t="s">
        <v>40</v>
      </c>
      <c r="L3" t="s">
        <v>4</v>
      </c>
      <c r="M3" t="s">
        <v>8</v>
      </c>
      <c r="N3" t="s">
        <v>3</v>
      </c>
      <c r="O3" t="s">
        <v>7</v>
      </c>
      <c r="P3" t="s">
        <v>12</v>
      </c>
      <c r="Q3" t="s">
        <v>2</v>
      </c>
      <c r="R3" t="s">
        <v>6</v>
      </c>
      <c r="S3" t="s">
        <v>19</v>
      </c>
      <c r="T3" t="s">
        <v>5</v>
      </c>
      <c r="U3" t="s">
        <v>9</v>
      </c>
      <c r="V3" t="s">
        <v>18</v>
      </c>
    </row>
    <row r="4" spans="1:22" x14ac:dyDescent="0.25">
      <c r="A4">
        <v>1</v>
      </c>
      <c r="B4" t="s">
        <v>2</v>
      </c>
      <c r="C4" s="2">
        <v>46087</v>
      </c>
      <c r="D4">
        <v>11</v>
      </c>
      <c r="E4" s="1">
        <v>55</v>
      </c>
      <c r="F4">
        <v>2750</v>
      </c>
      <c r="K4" s="10">
        <v>46024</v>
      </c>
      <c r="L4">
        <v>1250</v>
      </c>
      <c r="M4">
        <v>2500</v>
      </c>
      <c r="N4">
        <v>2250</v>
      </c>
      <c r="O4">
        <v>7000</v>
      </c>
      <c r="P4">
        <v>0</v>
      </c>
      <c r="Q4">
        <v>0</v>
      </c>
      <c r="R4">
        <v>5750</v>
      </c>
      <c r="S4">
        <v>1250</v>
      </c>
      <c r="V4" s="27">
        <v>20000</v>
      </c>
    </row>
    <row r="5" spans="1:22" x14ac:dyDescent="0.25">
      <c r="A5">
        <v>1</v>
      </c>
      <c r="B5" t="s">
        <v>2</v>
      </c>
      <c r="C5" s="2">
        <v>46045</v>
      </c>
      <c r="D5">
        <v>9</v>
      </c>
      <c r="E5" s="1">
        <v>45</v>
      </c>
      <c r="F5">
        <v>2250</v>
      </c>
      <c r="K5" s="10">
        <v>46045</v>
      </c>
      <c r="L5">
        <v>1250</v>
      </c>
      <c r="N5">
        <v>3250</v>
      </c>
      <c r="O5">
        <v>0</v>
      </c>
      <c r="P5">
        <v>3000</v>
      </c>
      <c r="Q5">
        <v>2250</v>
      </c>
      <c r="R5">
        <v>2500</v>
      </c>
      <c r="U5">
        <v>5250</v>
      </c>
      <c r="V5" s="27">
        <v>17500</v>
      </c>
    </row>
    <row r="6" spans="1:22" x14ac:dyDescent="0.25">
      <c r="A6">
        <v>1</v>
      </c>
      <c r="B6" t="s">
        <v>2</v>
      </c>
      <c r="C6" s="2">
        <v>46164</v>
      </c>
      <c r="D6">
        <v>14</v>
      </c>
      <c r="E6" s="1">
        <v>35</v>
      </c>
      <c r="F6">
        <v>1750</v>
      </c>
      <c r="K6" s="10">
        <v>46066</v>
      </c>
      <c r="L6">
        <v>4000</v>
      </c>
      <c r="N6">
        <v>1250</v>
      </c>
      <c r="O6">
        <v>4250</v>
      </c>
      <c r="P6">
        <v>2500</v>
      </c>
      <c r="Q6">
        <v>500</v>
      </c>
      <c r="R6">
        <v>1750</v>
      </c>
      <c r="U6">
        <v>3250</v>
      </c>
      <c r="V6" s="27">
        <v>17500</v>
      </c>
    </row>
    <row r="7" spans="1:22" x14ac:dyDescent="0.25">
      <c r="A7">
        <v>1</v>
      </c>
      <c r="B7" t="s">
        <v>2</v>
      </c>
      <c r="C7" s="2">
        <v>46066</v>
      </c>
      <c r="D7">
        <v>10</v>
      </c>
      <c r="E7" s="1">
        <v>10</v>
      </c>
      <c r="F7">
        <v>500</v>
      </c>
      <c r="K7" s="10">
        <v>46087</v>
      </c>
      <c r="L7">
        <v>2000</v>
      </c>
      <c r="M7">
        <v>2750</v>
      </c>
      <c r="N7">
        <v>3500</v>
      </c>
      <c r="O7">
        <v>3000</v>
      </c>
      <c r="P7">
        <v>4500</v>
      </c>
      <c r="Q7">
        <v>2750</v>
      </c>
      <c r="R7">
        <v>1500</v>
      </c>
      <c r="S7">
        <v>0</v>
      </c>
      <c r="V7" s="27">
        <v>20000</v>
      </c>
    </row>
    <row r="8" spans="1:22" x14ac:dyDescent="0.25">
      <c r="A8">
        <v>1</v>
      </c>
      <c r="B8" t="s">
        <v>2</v>
      </c>
      <c r="C8" s="2">
        <v>46024</v>
      </c>
      <c r="D8">
        <v>8</v>
      </c>
      <c r="E8" s="1">
        <v>0</v>
      </c>
      <c r="F8">
        <v>0</v>
      </c>
      <c r="K8" s="10">
        <v>46115</v>
      </c>
      <c r="L8">
        <v>2500</v>
      </c>
      <c r="M8">
        <v>2500</v>
      </c>
      <c r="N8">
        <v>3500</v>
      </c>
      <c r="O8">
        <v>6250</v>
      </c>
      <c r="Q8">
        <v>3250</v>
      </c>
      <c r="R8">
        <v>2250</v>
      </c>
      <c r="T8">
        <v>0</v>
      </c>
      <c r="U8">
        <v>0</v>
      </c>
      <c r="V8" s="27">
        <v>20250</v>
      </c>
    </row>
    <row r="9" spans="1:22" x14ac:dyDescent="0.25">
      <c r="A9">
        <v>2</v>
      </c>
      <c r="B9" t="s">
        <v>3</v>
      </c>
      <c r="C9" s="2">
        <v>46087</v>
      </c>
      <c r="D9">
        <v>11</v>
      </c>
      <c r="E9" s="1">
        <v>70</v>
      </c>
      <c r="F9">
        <v>3500</v>
      </c>
      <c r="K9" s="10">
        <v>46136</v>
      </c>
      <c r="L9">
        <v>3250</v>
      </c>
      <c r="M9">
        <v>2750</v>
      </c>
      <c r="O9">
        <v>4250</v>
      </c>
      <c r="P9">
        <v>0</v>
      </c>
      <c r="Q9">
        <v>5000</v>
      </c>
      <c r="S9">
        <v>0</v>
      </c>
      <c r="T9">
        <v>2250</v>
      </c>
      <c r="V9" s="27">
        <v>17500</v>
      </c>
    </row>
    <row r="10" spans="1:22" x14ac:dyDescent="0.25">
      <c r="A10">
        <v>2</v>
      </c>
      <c r="B10" t="s">
        <v>3</v>
      </c>
      <c r="C10" s="2">
        <v>46115</v>
      </c>
      <c r="D10">
        <v>12</v>
      </c>
      <c r="E10" s="1">
        <v>70</v>
      </c>
      <c r="F10">
        <v>3500</v>
      </c>
      <c r="K10" s="10">
        <v>46164</v>
      </c>
      <c r="L10">
        <v>4000</v>
      </c>
      <c r="M10">
        <v>0</v>
      </c>
      <c r="O10">
        <v>0</v>
      </c>
      <c r="Q10">
        <v>1750</v>
      </c>
      <c r="R10">
        <v>8000</v>
      </c>
      <c r="S10">
        <v>500</v>
      </c>
      <c r="T10">
        <v>3250</v>
      </c>
      <c r="V10" s="27">
        <v>17500</v>
      </c>
    </row>
    <row r="11" spans="1:22" x14ac:dyDescent="0.25">
      <c r="A11">
        <v>2</v>
      </c>
      <c r="B11" t="s">
        <v>3</v>
      </c>
      <c r="C11" s="2">
        <v>46045</v>
      </c>
      <c r="D11">
        <v>9</v>
      </c>
      <c r="E11" s="1">
        <v>65</v>
      </c>
      <c r="F11">
        <v>3250</v>
      </c>
      <c r="K11" s="9" t="s">
        <v>18</v>
      </c>
      <c r="L11">
        <v>18250</v>
      </c>
      <c r="M11">
        <v>10500</v>
      </c>
      <c r="N11">
        <v>13750</v>
      </c>
      <c r="O11">
        <v>24750</v>
      </c>
      <c r="P11">
        <v>10000</v>
      </c>
      <c r="Q11">
        <v>15500</v>
      </c>
      <c r="R11">
        <v>21750</v>
      </c>
      <c r="S11">
        <v>1750</v>
      </c>
      <c r="T11">
        <v>5500</v>
      </c>
      <c r="U11">
        <v>8500</v>
      </c>
      <c r="V11">
        <v>130250</v>
      </c>
    </row>
    <row r="12" spans="1:22" x14ac:dyDescent="0.25">
      <c r="A12">
        <v>2</v>
      </c>
      <c r="B12" t="s">
        <v>3</v>
      </c>
      <c r="C12" s="2">
        <v>46024</v>
      </c>
      <c r="D12">
        <v>8</v>
      </c>
      <c r="E12" s="1">
        <v>45</v>
      </c>
      <c r="F12">
        <v>2250</v>
      </c>
    </row>
    <row r="13" spans="1:22" x14ac:dyDescent="0.25">
      <c r="A13">
        <v>2</v>
      </c>
      <c r="B13" t="s">
        <v>3</v>
      </c>
      <c r="C13" s="2">
        <v>46066</v>
      </c>
      <c r="D13">
        <v>10</v>
      </c>
      <c r="E13" s="1">
        <v>25</v>
      </c>
      <c r="F13">
        <v>1250</v>
      </c>
    </row>
    <row r="14" spans="1:22" x14ac:dyDescent="0.25">
      <c r="A14">
        <v>3</v>
      </c>
      <c r="B14" t="s">
        <v>4</v>
      </c>
      <c r="C14" s="2">
        <v>46066</v>
      </c>
      <c r="D14">
        <v>10</v>
      </c>
      <c r="E14" s="1">
        <v>80</v>
      </c>
      <c r="F14">
        <v>4000</v>
      </c>
    </row>
    <row r="15" spans="1:22" x14ac:dyDescent="0.25">
      <c r="A15">
        <v>3</v>
      </c>
      <c r="B15" t="s">
        <v>4</v>
      </c>
      <c r="C15" s="2">
        <v>46164</v>
      </c>
      <c r="D15">
        <v>14</v>
      </c>
      <c r="E15" s="1">
        <v>80</v>
      </c>
      <c r="F15">
        <v>4000</v>
      </c>
    </row>
    <row r="16" spans="1:22" x14ac:dyDescent="0.25">
      <c r="A16">
        <v>3</v>
      </c>
      <c r="B16" t="s">
        <v>4</v>
      </c>
      <c r="C16" s="2">
        <v>46136</v>
      </c>
      <c r="D16">
        <v>13</v>
      </c>
      <c r="E16" s="1">
        <v>65</v>
      </c>
      <c r="F16">
        <v>3250</v>
      </c>
    </row>
    <row r="17" spans="1:6" x14ac:dyDescent="0.25">
      <c r="A17">
        <v>3</v>
      </c>
      <c r="B17" t="s">
        <v>4</v>
      </c>
      <c r="C17" s="2">
        <v>46115</v>
      </c>
      <c r="D17">
        <v>12</v>
      </c>
      <c r="E17" s="1">
        <v>50</v>
      </c>
      <c r="F17">
        <v>2500</v>
      </c>
    </row>
    <row r="18" spans="1:6" x14ac:dyDescent="0.25">
      <c r="A18">
        <v>3</v>
      </c>
      <c r="B18" t="s">
        <v>4</v>
      </c>
      <c r="C18" s="2">
        <v>46087</v>
      </c>
      <c r="D18">
        <v>11</v>
      </c>
      <c r="E18" s="1">
        <v>40</v>
      </c>
      <c r="F18">
        <v>2000</v>
      </c>
    </row>
    <row r="19" spans="1:6" x14ac:dyDescent="0.25">
      <c r="A19">
        <v>3</v>
      </c>
      <c r="B19" t="s">
        <v>4</v>
      </c>
      <c r="C19" s="2">
        <v>46045</v>
      </c>
      <c r="D19">
        <v>9</v>
      </c>
      <c r="E19" s="1">
        <v>25</v>
      </c>
      <c r="F19">
        <v>1250</v>
      </c>
    </row>
    <row r="20" spans="1:6" x14ac:dyDescent="0.25">
      <c r="A20">
        <v>3</v>
      </c>
      <c r="B20" t="s">
        <v>4</v>
      </c>
      <c r="C20" s="2">
        <v>46024</v>
      </c>
      <c r="D20">
        <v>8</v>
      </c>
      <c r="E20" s="1">
        <v>25</v>
      </c>
      <c r="F20">
        <v>1250</v>
      </c>
    </row>
    <row r="21" spans="1:6" x14ac:dyDescent="0.25">
      <c r="A21">
        <v>4</v>
      </c>
      <c r="B21" t="s">
        <v>5</v>
      </c>
      <c r="C21" s="2">
        <v>46164</v>
      </c>
      <c r="D21">
        <v>14</v>
      </c>
      <c r="E21" s="1">
        <v>65</v>
      </c>
      <c r="F21">
        <v>3250</v>
      </c>
    </row>
    <row r="22" spans="1:6" x14ac:dyDescent="0.25">
      <c r="A22">
        <v>4</v>
      </c>
      <c r="B22" t="s">
        <v>5</v>
      </c>
      <c r="C22" s="2">
        <v>46136</v>
      </c>
      <c r="D22">
        <v>13</v>
      </c>
      <c r="E22" s="1">
        <v>45</v>
      </c>
      <c r="F22">
        <v>2250</v>
      </c>
    </row>
    <row r="23" spans="1:6" x14ac:dyDescent="0.25">
      <c r="A23">
        <v>4</v>
      </c>
      <c r="B23" t="s">
        <v>5</v>
      </c>
      <c r="C23" s="2">
        <v>46115</v>
      </c>
      <c r="D23">
        <v>12</v>
      </c>
      <c r="E23" s="1">
        <v>0</v>
      </c>
      <c r="F23">
        <v>0</v>
      </c>
    </row>
    <row r="24" spans="1:6" x14ac:dyDescent="0.25">
      <c r="A24">
        <v>5</v>
      </c>
      <c r="B24" t="s">
        <v>6</v>
      </c>
      <c r="C24" s="2">
        <v>46164</v>
      </c>
      <c r="D24">
        <v>14</v>
      </c>
      <c r="E24" s="1">
        <v>160</v>
      </c>
      <c r="F24">
        <v>8000</v>
      </c>
    </row>
    <row r="25" spans="1:6" x14ac:dyDescent="0.25">
      <c r="A25">
        <v>5</v>
      </c>
      <c r="B25" t="s">
        <v>6</v>
      </c>
      <c r="C25" s="2">
        <v>46024</v>
      </c>
      <c r="D25">
        <v>8</v>
      </c>
      <c r="E25" s="1">
        <v>115</v>
      </c>
      <c r="F25">
        <v>5750</v>
      </c>
    </row>
    <row r="26" spans="1:6" x14ac:dyDescent="0.25">
      <c r="A26">
        <v>5</v>
      </c>
      <c r="B26" t="s">
        <v>6</v>
      </c>
      <c r="C26" s="2">
        <v>46045</v>
      </c>
      <c r="D26">
        <v>9</v>
      </c>
      <c r="E26" s="1">
        <v>50</v>
      </c>
      <c r="F26">
        <v>2500</v>
      </c>
    </row>
    <row r="27" spans="1:6" x14ac:dyDescent="0.25">
      <c r="A27">
        <v>5</v>
      </c>
      <c r="B27" t="s">
        <v>6</v>
      </c>
      <c r="C27" s="2">
        <v>46115</v>
      </c>
      <c r="D27">
        <v>12</v>
      </c>
      <c r="E27" s="1">
        <v>45</v>
      </c>
      <c r="F27">
        <v>2250</v>
      </c>
    </row>
    <row r="28" spans="1:6" x14ac:dyDescent="0.25">
      <c r="A28">
        <v>5</v>
      </c>
      <c r="B28" t="s">
        <v>6</v>
      </c>
      <c r="C28" s="2">
        <v>46066</v>
      </c>
      <c r="D28">
        <v>10</v>
      </c>
      <c r="E28" s="1">
        <v>35</v>
      </c>
      <c r="F28">
        <v>1750</v>
      </c>
    </row>
    <row r="29" spans="1:6" x14ac:dyDescent="0.25">
      <c r="A29">
        <v>5</v>
      </c>
      <c r="B29" t="s">
        <v>6</v>
      </c>
      <c r="C29" s="2">
        <v>46087</v>
      </c>
      <c r="D29">
        <v>11</v>
      </c>
      <c r="E29" s="1">
        <v>30</v>
      </c>
      <c r="F29">
        <v>1500</v>
      </c>
    </row>
    <row r="30" spans="1:6" x14ac:dyDescent="0.25">
      <c r="A30">
        <v>6</v>
      </c>
      <c r="B30" t="s">
        <v>7</v>
      </c>
      <c r="C30" s="2">
        <v>46024</v>
      </c>
      <c r="D30">
        <v>8</v>
      </c>
      <c r="E30" s="1">
        <v>140</v>
      </c>
      <c r="F30">
        <v>7000</v>
      </c>
    </row>
    <row r="31" spans="1:6" x14ac:dyDescent="0.25">
      <c r="A31">
        <v>6</v>
      </c>
      <c r="B31" t="s">
        <v>7</v>
      </c>
      <c r="C31" s="2">
        <v>46115</v>
      </c>
      <c r="D31">
        <v>12</v>
      </c>
      <c r="E31" s="1">
        <v>125</v>
      </c>
      <c r="F31">
        <v>6250</v>
      </c>
    </row>
    <row r="32" spans="1:6" x14ac:dyDescent="0.25">
      <c r="A32">
        <v>6</v>
      </c>
      <c r="B32" t="s">
        <v>7</v>
      </c>
      <c r="C32" s="2">
        <v>46066</v>
      </c>
      <c r="D32">
        <v>10</v>
      </c>
      <c r="E32" s="1">
        <v>85</v>
      </c>
      <c r="F32">
        <v>4250</v>
      </c>
    </row>
    <row r="33" spans="1:6" x14ac:dyDescent="0.25">
      <c r="A33">
        <v>6</v>
      </c>
      <c r="B33" t="s">
        <v>7</v>
      </c>
      <c r="C33" s="2">
        <v>46136</v>
      </c>
      <c r="D33">
        <v>13</v>
      </c>
      <c r="E33" s="1">
        <v>85</v>
      </c>
      <c r="F33">
        <v>4250</v>
      </c>
    </row>
    <row r="34" spans="1:6" x14ac:dyDescent="0.25">
      <c r="A34">
        <v>6</v>
      </c>
      <c r="B34" t="s">
        <v>7</v>
      </c>
      <c r="C34" s="2">
        <v>46087</v>
      </c>
      <c r="D34">
        <v>11</v>
      </c>
      <c r="E34" s="1">
        <v>60</v>
      </c>
      <c r="F34">
        <v>3000</v>
      </c>
    </row>
    <row r="35" spans="1:6" x14ac:dyDescent="0.25">
      <c r="A35">
        <v>6</v>
      </c>
      <c r="B35" t="s">
        <v>7</v>
      </c>
      <c r="C35" s="2">
        <v>46045</v>
      </c>
      <c r="D35">
        <v>9</v>
      </c>
      <c r="E35" s="1">
        <v>0</v>
      </c>
      <c r="F35">
        <v>0</v>
      </c>
    </row>
    <row r="36" spans="1:6" x14ac:dyDescent="0.25">
      <c r="A36">
        <v>6</v>
      </c>
      <c r="B36" t="s">
        <v>7</v>
      </c>
      <c r="C36" s="2">
        <v>46164</v>
      </c>
      <c r="D36">
        <v>14</v>
      </c>
      <c r="E36" s="1">
        <v>0</v>
      </c>
      <c r="F36">
        <v>0</v>
      </c>
    </row>
    <row r="37" spans="1:6" x14ac:dyDescent="0.25">
      <c r="A37">
        <v>7</v>
      </c>
      <c r="B37" t="s">
        <v>8</v>
      </c>
      <c r="C37" s="2">
        <v>46136</v>
      </c>
      <c r="D37">
        <v>13</v>
      </c>
      <c r="E37" s="1">
        <v>55</v>
      </c>
      <c r="F37">
        <v>2750</v>
      </c>
    </row>
    <row r="38" spans="1:6" x14ac:dyDescent="0.25">
      <c r="A38">
        <v>7</v>
      </c>
      <c r="B38" t="s">
        <v>8</v>
      </c>
      <c r="C38" s="2">
        <v>46087</v>
      </c>
      <c r="D38">
        <v>11</v>
      </c>
      <c r="E38" s="1">
        <v>55</v>
      </c>
      <c r="F38">
        <v>2750</v>
      </c>
    </row>
    <row r="39" spans="1:6" x14ac:dyDescent="0.25">
      <c r="A39">
        <v>7</v>
      </c>
      <c r="B39" t="s">
        <v>8</v>
      </c>
      <c r="C39" s="2">
        <v>46115</v>
      </c>
      <c r="D39">
        <v>12</v>
      </c>
      <c r="E39" s="1">
        <v>50</v>
      </c>
      <c r="F39">
        <v>2500</v>
      </c>
    </row>
    <row r="40" spans="1:6" x14ac:dyDescent="0.25">
      <c r="A40">
        <v>7</v>
      </c>
      <c r="B40" t="s">
        <v>8</v>
      </c>
      <c r="C40" s="2">
        <v>46024</v>
      </c>
      <c r="D40">
        <v>8</v>
      </c>
      <c r="E40" s="1">
        <v>50</v>
      </c>
      <c r="F40">
        <v>2500</v>
      </c>
    </row>
    <row r="41" spans="1:6" x14ac:dyDescent="0.25">
      <c r="A41">
        <v>7</v>
      </c>
      <c r="B41" t="s">
        <v>8</v>
      </c>
      <c r="C41" s="2">
        <v>46164</v>
      </c>
      <c r="D41">
        <v>14</v>
      </c>
      <c r="E41" s="1">
        <v>0</v>
      </c>
      <c r="F41">
        <v>0</v>
      </c>
    </row>
    <row r="42" spans="1:6" x14ac:dyDescent="0.25">
      <c r="A42">
        <v>8</v>
      </c>
      <c r="B42" t="s">
        <v>9</v>
      </c>
      <c r="C42" s="2">
        <v>46045</v>
      </c>
      <c r="D42">
        <v>9</v>
      </c>
      <c r="E42" s="1">
        <v>105</v>
      </c>
      <c r="F42">
        <v>5250</v>
      </c>
    </row>
    <row r="43" spans="1:6" x14ac:dyDescent="0.25">
      <c r="A43">
        <v>8</v>
      </c>
      <c r="B43" t="s">
        <v>9</v>
      </c>
      <c r="C43" s="2">
        <v>46066</v>
      </c>
      <c r="D43">
        <v>10</v>
      </c>
      <c r="E43" s="1">
        <v>65</v>
      </c>
      <c r="F43">
        <v>3250</v>
      </c>
    </row>
    <row r="44" spans="1:6" x14ac:dyDescent="0.25">
      <c r="A44">
        <v>8</v>
      </c>
      <c r="B44" t="s">
        <v>9</v>
      </c>
      <c r="C44" s="2">
        <v>46115</v>
      </c>
      <c r="D44">
        <v>12</v>
      </c>
      <c r="E44" s="1">
        <v>0</v>
      </c>
      <c r="F44">
        <v>0</v>
      </c>
    </row>
    <row r="45" spans="1:6" x14ac:dyDescent="0.25">
      <c r="A45">
        <v>11</v>
      </c>
      <c r="B45" t="s">
        <v>12</v>
      </c>
      <c r="C45" s="2">
        <v>46087</v>
      </c>
      <c r="D45">
        <v>11</v>
      </c>
      <c r="E45" s="1">
        <v>90</v>
      </c>
      <c r="F45">
        <v>4500</v>
      </c>
    </row>
    <row r="46" spans="1:6" x14ac:dyDescent="0.25">
      <c r="A46">
        <v>11</v>
      </c>
      <c r="B46" t="s">
        <v>12</v>
      </c>
      <c r="C46" s="2">
        <v>46045</v>
      </c>
      <c r="D46">
        <v>9</v>
      </c>
      <c r="E46" s="1">
        <v>60</v>
      </c>
      <c r="F46">
        <v>3000</v>
      </c>
    </row>
    <row r="47" spans="1:6" x14ac:dyDescent="0.25">
      <c r="A47">
        <v>11</v>
      </c>
      <c r="B47" t="s">
        <v>12</v>
      </c>
      <c r="C47" s="2">
        <v>46066</v>
      </c>
      <c r="D47">
        <v>10</v>
      </c>
      <c r="E47" s="1">
        <v>50</v>
      </c>
      <c r="F47">
        <v>2500</v>
      </c>
    </row>
    <row r="48" spans="1:6" x14ac:dyDescent="0.25">
      <c r="A48">
        <v>11</v>
      </c>
      <c r="B48" t="s">
        <v>12</v>
      </c>
      <c r="C48" s="2">
        <v>46024</v>
      </c>
      <c r="D48">
        <v>8</v>
      </c>
      <c r="E48" s="1">
        <v>0</v>
      </c>
      <c r="F48">
        <v>0</v>
      </c>
    </row>
    <row r="49" spans="1:6" x14ac:dyDescent="0.25">
      <c r="A49">
        <v>11</v>
      </c>
      <c r="B49" t="s">
        <v>12</v>
      </c>
      <c r="C49" s="2">
        <v>46136</v>
      </c>
      <c r="D49">
        <v>13</v>
      </c>
      <c r="E49" s="1">
        <v>0</v>
      </c>
      <c r="F49">
        <v>0</v>
      </c>
    </row>
    <row r="50" spans="1:6" x14ac:dyDescent="0.25">
      <c r="A50">
        <v>12</v>
      </c>
      <c r="B50" t="s">
        <v>19</v>
      </c>
      <c r="C50" s="2">
        <v>46024</v>
      </c>
      <c r="D50">
        <v>8</v>
      </c>
      <c r="E50" s="1">
        <v>25</v>
      </c>
      <c r="F50">
        <v>1250</v>
      </c>
    </row>
    <row r="51" spans="1:6" x14ac:dyDescent="0.25">
      <c r="A51">
        <v>12</v>
      </c>
      <c r="B51" t="s">
        <v>19</v>
      </c>
      <c r="C51" s="2">
        <v>46164</v>
      </c>
      <c r="D51">
        <v>14</v>
      </c>
      <c r="E51" s="1">
        <v>10</v>
      </c>
      <c r="F51">
        <v>500</v>
      </c>
    </row>
    <row r="52" spans="1:6" x14ac:dyDescent="0.25">
      <c r="A52">
        <v>12</v>
      </c>
      <c r="B52" t="s">
        <v>19</v>
      </c>
      <c r="C52" s="2">
        <v>46136</v>
      </c>
      <c r="D52">
        <v>13</v>
      </c>
      <c r="E52" s="1">
        <v>0</v>
      </c>
      <c r="F52">
        <v>0</v>
      </c>
    </row>
    <row r="53" spans="1:6" x14ac:dyDescent="0.25">
      <c r="A53">
        <v>12</v>
      </c>
      <c r="B53" t="s">
        <v>19</v>
      </c>
      <c r="C53" s="2">
        <v>46087</v>
      </c>
      <c r="D53">
        <v>11</v>
      </c>
      <c r="E53" s="1">
        <v>0</v>
      </c>
      <c r="F53">
        <v>0</v>
      </c>
    </row>
    <row r="54" spans="1:6" x14ac:dyDescent="0.25">
      <c r="A54" t="s">
        <v>20</v>
      </c>
      <c r="D54">
        <f>SUBTOTAL(103,List_of_Cashouts_per_player_for_2026[Game_No])</f>
        <v>52</v>
      </c>
      <c r="E54" s="1">
        <f>SUBTOTAL(109,List_of_Cashouts_per_player_for_2026[CashOut])</f>
        <v>2605</v>
      </c>
      <c r="F54">
        <f>SUBTOTAL(109,List_of_Cashouts_per_player_for_2026[League Points])</f>
        <v>130250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738D-0715-4FF5-B84B-F4ACAED7A864}">
  <dimension ref="A1:G103"/>
  <sheetViews>
    <sheetView topLeftCell="A4" workbookViewId="0">
      <selection activeCell="D9" sqref="D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4" width="9.140625" bestFit="1" customWidth="1"/>
    <col min="5" max="5" width="11.140625" bestFit="1" customWidth="1"/>
    <col min="6" max="6" width="7.5703125" bestFit="1" customWidth="1"/>
    <col min="7" max="7" width="26.28515625" bestFit="1" customWidth="1"/>
  </cols>
  <sheetData>
    <row r="1" spans="1:7" x14ac:dyDescent="0.2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34</v>
      </c>
      <c r="G1" t="s">
        <v>38</v>
      </c>
    </row>
    <row r="2" spans="1:7" x14ac:dyDescent="0.2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v>0</v>
      </c>
      <c r="G2" t="s">
        <v>2</v>
      </c>
    </row>
    <row r="3" spans="1:7" x14ac:dyDescent="0.25">
      <c r="A3">
        <v>2</v>
      </c>
      <c r="B3">
        <v>1</v>
      </c>
      <c r="C3" s="1">
        <v>30</v>
      </c>
      <c r="D3" s="1">
        <v>0</v>
      </c>
      <c r="E3" s="1">
        <v>25</v>
      </c>
      <c r="F3" s="1">
        <v>-5</v>
      </c>
      <c r="G3" t="s">
        <v>2</v>
      </c>
    </row>
    <row r="4" spans="1:7" x14ac:dyDescent="0.25">
      <c r="A4">
        <v>1</v>
      </c>
      <c r="B4">
        <v>2</v>
      </c>
      <c r="C4" s="1">
        <v>30</v>
      </c>
      <c r="D4" s="1">
        <v>0</v>
      </c>
      <c r="E4" s="1">
        <v>105</v>
      </c>
      <c r="F4" s="1">
        <v>75</v>
      </c>
      <c r="G4" t="s">
        <v>3</v>
      </c>
    </row>
    <row r="5" spans="1:7" x14ac:dyDescent="0.25">
      <c r="A5">
        <v>2</v>
      </c>
      <c r="B5">
        <v>2</v>
      </c>
      <c r="C5" s="1">
        <v>30</v>
      </c>
      <c r="D5" s="1">
        <v>0</v>
      </c>
      <c r="E5" s="1">
        <v>55</v>
      </c>
      <c r="F5" s="1">
        <v>25</v>
      </c>
      <c r="G5" t="s">
        <v>3</v>
      </c>
    </row>
    <row r="6" spans="1:7" x14ac:dyDescent="0.25">
      <c r="A6">
        <v>1</v>
      </c>
      <c r="B6">
        <v>3</v>
      </c>
      <c r="C6" s="1">
        <v>30</v>
      </c>
      <c r="D6" s="1">
        <v>20</v>
      </c>
      <c r="E6" s="1">
        <v>40</v>
      </c>
      <c r="F6" s="1">
        <v>-10</v>
      </c>
      <c r="G6" t="s">
        <v>4</v>
      </c>
    </row>
    <row r="7" spans="1:7" x14ac:dyDescent="0.25">
      <c r="A7">
        <v>2</v>
      </c>
      <c r="B7">
        <v>3</v>
      </c>
      <c r="C7" s="1">
        <v>30</v>
      </c>
      <c r="D7" s="1">
        <v>20</v>
      </c>
      <c r="E7" s="1">
        <v>30</v>
      </c>
      <c r="F7" s="1">
        <v>-20</v>
      </c>
      <c r="G7" t="s">
        <v>4</v>
      </c>
    </row>
    <row r="8" spans="1:7" x14ac:dyDescent="0.25">
      <c r="A8">
        <v>1</v>
      </c>
      <c r="B8">
        <v>4</v>
      </c>
      <c r="C8" s="1">
        <v>30</v>
      </c>
      <c r="D8" s="1">
        <v>0</v>
      </c>
      <c r="E8" s="1">
        <v>20</v>
      </c>
      <c r="F8" s="1">
        <v>-10</v>
      </c>
      <c r="G8" t="s">
        <v>5</v>
      </c>
    </row>
    <row r="9" spans="1:7" x14ac:dyDescent="0.25">
      <c r="A9">
        <v>2</v>
      </c>
      <c r="B9">
        <v>4</v>
      </c>
      <c r="C9" s="1">
        <v>30</v>
      </c>
      <c r="D9" s="1">
        <v>20</v>
      </c>
      <c r="E9" s="1">
        <v>25</v>
      </c>
      <c r="F9" s="1">
        <v>-25</v>
      </c>
      <c r="G9" t="s">
        <v>5</v>
      </c>
    </row>
    <row r="10" spans="1:7" x14ac:dyDescent="0.25">
      <c r="A10">
        <v>1</v>
      </c>
      <c r="B10">
        <v>5</v>
      </c>
      <c r="C10" s="1">
        <v>30</v>
      </c>
      <c r="D10" s="1">
        <v>20</v>
      </c>
      <c r="E10" s="1">
        <v>25</v>
      </c>
      <c r="F10" s="1">
        <v>-25</v>
      </c>
      <c r="G10" t="s">
        <v>6</v>
      </c>
    </row>
    <row r="11" spans="1:7" x14ac:dyDescent="0.25">
      <c r="A11">
        <v>2</v>
      </c>
      <c r="B11">
        <v>5</v>
      </c>
      <c r="C11" s="1">
        <v>30</v>
      </c>
      <c r="D11" s="1">
        <v>20</v>
      </c>
      <c r="E11" s="1">
        <v>0</v>
      </c>
      <c r="F11" s="1">
        <v>-50</v>
      </c>
      <c r="G11" t="s">
        <v>6</v>
      </c>
    </row>
    <row r="12" spans="1:7" x14ac:dyDescent="0.25">
      <c r="A12">
        <v>1</v>
      </c>
      <c r="B12">
        <v>6</v>
      </c>
      <c r="C12" s="1">
        <v>30</v>
      </c>
      <c r="D12" s="1">
        <v>0</v>
      </c>
      <c r="E12" s="1">
        <v>0</v>
      </c>
      <c r="F12" s="1">
        <v>-30</v>
      </c>
      <c r="G12" t="s">
        <v>7</v>
      </c>
    </row>
    <row r="13" spans="1:7" x14ac:dyDescent="0.2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v>80</v>
      </c>
      <c r="G13" t="s">
        <v>7</v>
      </c>
    </row>
    <row r="14" spans="1:7" x14ac:dyDescent="0.2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v>30</v>
      </c>
      <c r="G14" t="s">
        <v>9</v>
      </c>
    </row>
    <row r="15" spans="1:7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v>-30</v>
      </c>
      <c r="G15" t="s">
        <v>12</v>
      </c>
    </row>
    <row r="16" spans="1:7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v>80</v>
      </c>
      <c r="G16" t="s">
        <v>2</v>
      </c>
    </row>
    <row r="17" spans="1:7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v>35</v>
      </c>
      <c r="G17" t="s">
        <v>4</v>
      </c>
    </row>
    <row r="18" spans="1:7" x14ac:dyDescent="0.2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v>-50</v>
      </c>
      <c r="G18" t="s">
        <v>5</v>
      </c>
    </row>
    <row r="19" spans="1:7" x14ac:dyDescent="0.2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v>-50</v>
      </c>
      <c r="G19" t="s">
        <v>6</v>
      </c>
    </row>
    <row r="20" spans="1:7" x14ac:dyDescent="0.2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v>-30</v>
      </c>
      <c r="G20" t="s">
        <v>7</v>
      </c>
    </row>
    <row r="21" spans="1:7" x14ac:dyDescent="0.2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v>45</v>
      </c>
      <c r="G21" t="s">
        <v>8</v>
      </c>
    </row>
    <row r="22" spans="1:7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v>-60</v>
      </c>
      <c r="G22" t="s">
        <v>9</v>
      </c>
    </row>
    <row r="23" spans="1:7" x14ac:dyDescent="0.2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v>-30</v>
      </c>
      <c r="G23" t="s">
        <v>12</v>
      </c>
    </row>
    <row r="24" spans="1:7" x14ac:dyDescent="0.2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v>10</v>
      </c>
      <c r="G24" t="s">
        <v>2</v>
      </c>
    </row>
    <row r="25" spans="1:7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v>15</v>
      </c>
      <c r="G25" t="s">
        <v>4</v>
      </c>
    </row>
    <row r="26" spans="1:7" x14ac:dyDescent="0.2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v>-55</v>
      </c>
      <c r="G26" t="s">
        <v>6</v>
      </c>
    </row>
    <row r="27" spans="1:7" x14ac:dyDescent="0.2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v>70</v>
      </c>
      <c r="G27" t="s">
        <v>7</v>
      </c>
    </row>
    <row r="28" spans="1:7" x14ac:dyDescent="0.2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v>15</v>
      </c>
      <c r="G28" t="s">
        <v>8</v>
      </c>
    </row>
    <row r="29" spans="1:7" x14ac:dyDescent="0.2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v>-70</v>
      </c>
      <c r="G29" t="s">
        <v>9</v>
      </c>
    </row>
    <row r="30" spans="1:7" x14ac:dyDescent="0.2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v>15</v>
      </c>
      <c r="G30" t="s">
        <v>12</v>
      </c>
    </row>
    <row r="31" spans="1:7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v>30</v>
      </c>
      <c r="G31" t="s">
        <v>2</v>
      </c>
    </row>
    <row r="32" spans="1:7" x14ac:dyDescent="0.2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v>-30</v>
      </c>
      <c r="G32" t="s">
        <v>4</v>
      </c>
    </row>
    <row r="33" spans="1:7" x14ac:dyDescent="0.2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v>70</v>
      </c>
      <c r="G33" t="s">
        <v>6</v>
      </c>
    </row>
    <row r="34" spans="1:7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v>-70</v>
      </c>
      <c r="G34" t="s">
        <v>7</v>
      </c>
    </row>
    <row r="35" spans="1:7" x14ac:dyDescent="0.2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v>-20</v>
      </c>
      <c r="G35" t="s">
        <v>8</v>
      </c>
    </row>
    <row r="36" spans="1:7" x14ac:dyDescent="0.2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v>0</v>
      </c>
      <c r="G36" t="s">
        <v>9</v>
      </c>
    </row>
    <row r="37" spans="1:7" x14ac:dyDescent="0.2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v>20</v>
      </c>
      <c r="G37" t="s">
        <v>12</v>
      </c>
    </row>
    <row r="38" spans="1:7" x14ac:dyDescent="0.2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v>-5</v>
      </c>
      <c r="G38" t="s">
        <v>2</v>
      </c>
    </row>
    <row r="39" spans="1:7" x14ac:dyDescent="0.2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v>-35</v>
      </c>
      <c r="G39" t="s">
        <v>4</v>
      </c>
    </row>
    <row r="40" spans="1:7" x14ac:dyDescent="0.2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v>75</v>
      </c>
      <c r="G40" t="s">
        <v>5</v>
      </c>
    </row>
    <row r="41" spans="1:7" x14ac:dyDescent="0.2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v>-20</v>
      </c>
      <c r="G41" t="s">
        <v>6</v>
      </c>
    </row>
    <row r="42" spans="1:7" x14ac:dyDescent="0.2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v>55</v>
      </c>
      <c r="G42" t="s">
        <v>7</v>
      </c>
    </row>
    <row r="43" spans="1:7" x14ac:dyDescent="0.2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v>-50</v>
      </c>
      <c r="G43" t="s">
        <v>8</v>
      </c>
    </row>
    <row r="44" spans="1:7" x14ac:dyDescent="0.2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v>-20</v>
      </c>
      <c r="G44" t="s">
        <v>12</v>
      </c>
    </row>
    <row r="45" spans="1:7" x14ac:dyDescent="0.2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v>15</v>
      </c>
      <c r="G45" t="s">
        <v>2</v>
      </c>
    </row>
    <row r="46" spans="1:7" x14ac:dyDescent="0.2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v>-30</v>
      </c>
      <c r="G46" t="s">
        <v>4</v>
      </c>
    </row>
    <row r="47" spans="1:7" x14ac:dyDescent="0.2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v>10</v>
      </c>
      <c r="G47" t="s">
        <v>6</v>
      </c>
    </row>
    <row r="48" spans="1:7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v>0</v>
      </c>
      <c r="G48" t="s">
        <v>7</v>
      </c>
    </row>
    <row r="49" spans="1:7" x14ac:dyDescent="0.2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v>35</v>
      </c>
      <c r="G49" t="s">
        <v>8</v>
      </c>
    </row>
    <row r="50" spans="1:7" x14ac:dyDescent="0.2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v>-30</v>
      </c>
      <c r="G50" t="s">
        <v>19</v>
      </c>
    </row>
    <row r="51" spans="1:7" x14ac:dyDescent="0.2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v>-50</v>
      </c>
      <c r="G51" t="s">
        <v>2</v>
      </c>
    </row>
    <row r="52" spans="1:7" x14ac:dyDescent="0.2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v>-5</v>
      </c>
      <c r="G52" t="s">
        <v>3</v>
      </c>
    </row>
    <row r="53" spans="1:7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v>-25</v>
      </c>
      <c r="G53" t="s">
        <v>4</v>
      </c>
    </row>
    <row r="54" spans="1:7" x14ac:dyDescent="0.2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v>65</v>
      </c>
      <c r="G54" t="s">
        <v>6</v>
      </c>
    </row>
    <row r="55" spans="1:7" x14ac:dyDescent="0.2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v>90</v>
      </c>
      <c r="G55" t="s">
        <v>7</v>
      </c>
    </row>
    <row r="56" spans="1:7" x14ac:dyDescent="0.2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v>0</v>
      </c>
      <c r="G56" t="s">
        <v>8</v>
      </c>
    </row>
    <row r="57" spans="1:7" x14ac:dyDescent="0.2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v>-50</v>
      </c>
      <c r="G57" t="s">
        <v>12</v>
      </c>
    </row>
    <row r="58" spans="1:7" x14ac:dyDescent="0.2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v>-25</v>
      </c>
      <c r="G58" t="s">
        <v>19</v>
      </c>
    </row>
    <row r="59" spans="1:7" x14ac:dyDescent="0.2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v>-5</v>
      </c>
      <c r="G59" t="s">
        <v>2</v>
      </c>
    </row>
    <row r="60" spans="1:7" x14ac:dyDescent="0.2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v>15</v>
      </c>
      <c r="G60" t="s">
        <v>3</v>
      </c>
    </row>
    <row r="61" spans="1:7" x14ac:dyDescent="0.2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v>-25</v>
      </c>
      <c r="G61" t="s">
        <v>4</v>
      </c>
    </row>
    <row r="62" spans="1:7" x14ac:dyDescent="0.2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v>0</v>
      </c>
      <c r="G62" t="s">
        <v>6</v>
      </c>
    </row>
    <row r="63" spans="1:7" x14ac:dyDescent="0.2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v>-50</v>
      </c>
      <c r="G63" t="s">
        <v>7</v>
      </c>
    </row>
    <row r="64" spans="1:7" x14ac:dyDescent="0.2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v>55</v>
      </c>
      <c r="G64" t="s">
        <v>9</v>
      </c>
    </row>
    <row r="65" spans="1:7" x14ac:dyDescent="0.2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v>10</v>
      </c>
      <c r="G65" t="s">
        <v>12</v>
      </c>
    </row>
    <row r="66" spans="1:7" x14ac:dyDescent="0.2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v>-40</v>
      </c>
      <c r="G66" t="s">
        <v>2</v>
      </c>
    </row>
    <row r="67" spans="1:7" x14ac:dyDescent="0.2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v>-25</v>
      </c>
      <c r="G67" t="s">
        <v>3</v>
      </c>
    </row>
    <row r="68" spans="1:7" x14ac:dyDescent="0.2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v>30</v>
      </c>
      <c r="G68" t="s">
        <v>4</v>
      </c>
    </row>
    <row r="69" spans="1:7" x14ac:dyDescent="0.2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v>-15</v>
      </c>
      <c r="G69" t="s">
        <v>6</v>
      </c>
    </row>
    <row r="70" spans="1:7" x14ac:dyDescent="0.2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v>35</v>
      </c>
      <c r="G70" t="s">
        <v>7</v>
      </c>
    </row>
    <row r="71" spans="1:7" x14ac:dyDescent="0.2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v>15</v>
      </c>
      <c r="G71" t="s">
        <v>9</v>
      </c>
    </row>
    <row r="72" spans="1:7" x14ac:dyDescent="0.2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v>0</v>
      </c>
      <c r="G72" t="s">
        <v>12</v>
      </c>
    </row>
    <row r="73" spans="1:7" x14ac:dyDescent="0.2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v>5</v>
      </c>
      <c r="G73" t="s">
        <v>2</v>
      </c>
    </row>
    <row r="74" spans="1:7" x14ac:dyDescent="0.2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v>20</v>
      </c>
      <c r="G74" t="s">
        <v>3</v>
      </c>
    </row>
    <row r="75" spans="1:7" x14ac:dyDescent="0.2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v>-10</v>
      </c>
      <c r="G75" t="s">
        <v>4</v>
      </c>
    </row>
    <row r="76" spans="1:7" x14ac:dyDescent="0.2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v>-20</v>
      </c>
      <c r="G76" t="s">
        <v>6</v>
      </c>
    </row>
    <row r="77" spans="1:7" x14ac:dyDescent="0.2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v>10</v>
      </c>
      <c r="G77" t="s">
        <v>7</v>
      </c>
    </row>
    <row r="78" spans="1:7" x14ac:dyDescent="0.2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v>5</v>
      </c>
      <c r="G78" t="s">
        <v>8</v>
      </c>
    </row>
    <row r="79" spans="1:7" x14ac:dyDescent="0.2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v>40</v>
      </c>
      <c r="G79" t="s">
        <v>12</v>
      </c>
    </row>
    <row r="80" spans="1:7" x14ac:dyDescent="0.2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v>-50</v>
      </c>
      <c r="G80" t="s">
        <v>19</v>
      </c>
    </row>
    <row r="81" spans="1:7" x14ac:dyDescent="0.2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v>15</v>
      </c>
      <c r="G81" t="s">
        <v>2</v>
      </c>
    </row>
    <row r="82" spans="1:7" x14ac:dyDescent="0.2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v>20</v>
      </c>
      <c r="G82" t="s">
        <v>3</v>
      </c>
    </row>
    <row r="83" spans="1:7" x14ac:dyDescent="0.2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v>0</v>
      </c>
      <c r="G83" t="s">
        <v>4</v>
      </c>
    </row>
    <row r="84" spans="1:7" x14ac:dyDescent="0.2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v>-50</v>
      </c>
      <c r="G84" t="s">
        <v>5</v>
      </c>
    </row>
    <row r="85" spans="1:7" x14ac:dyDescent="0.2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v>-5</v>
      </c>
      <c r="G85" t="s">
        <v>6</v>
      </c>
    </row>
    <row r="86" spans="1:7" x14ac:dyDescent="0.2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v>75</v>
      </c>
      <c r="G86" t="s">
        <v>7</v>
      </c>
    </row>
    <row r="87" spans="1:7" x14ac:dyDescent="0.2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v>0</v>
      </c>
      <c r="G87" t="s">
        <v>8</v>
      </c>
    </row>
    <row r="88" spans="1:7" x14ac:dyDescent="0.2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v>-50</v>
      </c>
      <c r="G88" t="s">
        <v>9</v>
      </c>
    </row>
    <row r="89" spans="1:7" x14ac:dyDescent="0.25">
      <c r="A89">
        <v>13</v>
      </c>
      <c r="B89">
        <v>1</v>
      </c>
      <c r="C89" s="1">
        <v>30</v>
      </c>
      <c r="D89" s="1">
        <v>20</v>
      </c>
      <c r="E89" s="1">
        <v>100</v>
      </c>
      <c r="F89" s="1">
        <v>50</v>
      </c>
      <c r="G89" t="s">
        <v>2</v>
      </c>
    </row>
    <row r="90" spans="1:7" x14ac:dyDescent="0.25">
      <c r="A90">
        <v>13</v>
      </c>
      <c r="B90">
        <v>3</v>
      </c>
      <c r="C90" s="1">
        <v>30</v>
      </c>
      <c r="D90" s="1">
        <v>20</v>
      </c>
      <c r="E90" s="1">
        <v>65</v>
      </c>
      <c r="F90" s="1">
        <v>15</v>
      </c>
      <c r="G90" t="s">
        <v>4</v>
      </c>
    </row>
    <row r="91" spans="1:7" x14ac:dyDescent="0.25">
      <c r="A91">
        <v>13</v>
      </c>
      <c r="B91">
        <v>4</v>
      </c>
      <c r="C91" s="1">
        <v>30</v>
      </c>
      <c r="D91" s="1">
        <v>20</v>
      </c>
      <c r="E91" s="1">
        <v>45</v>
      </c>
      <c r="F91" s="1">
        <v>-5</v>
      </c>
      <c r="G91" t="s">
        <v>5</v>
      </c>
    </row>
    <row r="92" spans="1:7" x14ac:dyDescent="0.25">
      <c r="A92">
        <v>13</v>
      </c>
      <c r="B92">
        <v>6</v>
      </c>
      <c r="C92" s="1">
        <v>30</v>
      </c>
      <c r="D92" s="1">
        <v>20</v>
      </c>
      <c r="E92" s="1">
        <v>85</v>
      </c>
      <c r="F92" s="1">
        <v>35</v>
      </c>
      <c r="G92" t="s">
        <v>7</v>
      </c>
    </row>
    <row r="93" spans="1:7" x14ac:dyDescent="0.25">
      <c r="A93">
        <v>13</v>
      </c>
      <c r="B93">
        <v>7</v>
      </c>
      <c r="C93" s="1">
        <v>30</v>
      </c>
      <c r="D93" s="1">
        <v>20</v>
      </c>
      <c r="E93" s="1">
        <v>55</v>
      </c>
      <c r="F93" s="1">
        <v>5</v>
      </c>
      <c r="G93" t="s">
        <v>8</v>
      </c>
    </row>
    <row r="94" spans="1:7" x14ac:dyDescent="0.25">
      <c r="A94">
        <v>13</v>
      </c>
      <c r="B94">
        <v>11</v>
      </c>
      <c r="C94" s="1">
        <v>30</v>
      </c>
      <c r="D94" s="1">
        <v>20</v>
      </c>
      <c r="E94" s="1">
        <v>0</v>
      </c>
      <c r="F94" s="1">
        <v>-50</v>
      </c>
      <c r="G94" t="s">
        <v>12</v>
      </c>
    </row>
    <row r="95" spans="1:7" x14ac:dyDescent="0.25">
      <c r="A95">
        <v>13</v>
      </c>
      <c r="B95">
        <v>12</v>
      </c>
      <c r="C95" s="1">
        <v>30</v>
      </c>
      <c r="D95" s="1">
        <v>20</v>
      </c>
      <c r="E95" s="1">
        <v>0</v>
      </c>
      <c r="F95" s="1">
        <v>-50</v>
      </c>
      <c r="G95" t="s">
        <v>19</v>
      </c>
    </row>
    <row r="96" spans="1:7" x14ac:dyDescent="0.25">
      <c r="A96">
        <v>14</v>
      </c>
      <c r="B96">
        <v>1</v>
      </c>
      <c r="C96" s="1">
        <v>30</v>
      </c>
      <c r="D96" s="1">
        <v>20</v>
      </c>
      <c r="E96" s="1">
        <v>35</v>
      </c>
      <c r="F96" s="1">
        <v>-15</v>
      </c>
      <c r="G96" t="s">
        <v>2</v>
      </c>
    </row>
    <row r="97" spans="1:7" x14ac:dyDescent="0.25">
      <c r="A97">
        <v>14</v>
      </c>
      <c r="B97">
        <v>3</v>
      </c>
      <c r="C97" s="1">
        <v>30</v>
      </c>
      <c r="D97" s="1">
        <v>20</v>
      </c>
      <c r="E97" s="1">
        <v>80</v>
      </c>
      <c r="F97" s="1">
        <v>30</v>
      </c>
      <c r="G97" t="s">
        <v>4</v>
      </c>
    </row>
    <row r="98" spans="1:7" x14ac:dyDescent="0.25">
      <c r="A98">
        <v>14</v>
      </c>
      <c r="B98">
        <v>4</v>
      </c>
      <c r="C98" s="1">
        <v>30</v>
      </c>
      <c r="D98" s="1">
        <v>20</v>
      </c>
      <c r="E98" s="1">
        <v>65</v>
      </c>
      <c r="F98" s="1">
        <v>15</v>
      </c>
      <c r="G98" t="s">
        <v>5</v>
      </c>
    </row>
    <row r="99" spans="1:7" x14ac:dyDescent="0.25">
      <c r="A99">
        <v>14</v>
      </c>
      <c r="B99">
        <v>5</v>
      </c>
      <c r="C99" s="1">
        <v>30</v>
      </c>
      <c r="D99" s="1">
        <v>20</v>
      </c>
      <c r="E99" s="1">
        <v>160</v>
      </c>
      <c r="F99" s="1">
        <v>110</v>
      </c>
      <c r="G99" t="s">
        <v>6</v>
      </c>
    </row>
    <row r="100" spans="1:7" x14ac:dyDescent="0.25">
      <c r="A100">
        <v>14</v>
      </c>
      <c r="B100">
        <v>7</v>
      </c>
      <c r="C100" s="1">
        <v>30</v>
      </c>
      <c r="D100" s="1">
        <v>20</v>
      </c>
      <c r="E100" s="1">
        <v>0</v>
      </c>
      <c r="F100" s="1">
        <v>-50</v>
      </c>
      <c r="G100" t="s">
        <v>8</v>
      </c>
    </row>
    <row r="101" spans="1:7" x14ac:dyDescent="0.25">
      <c r="A101">
        <v>14</v>
      </c>
      <c r="B101">
        <v>12</v>
      </c>
      <c r="C101" s="1">
        <v>30</v>
      </c>
      <c r="D101" s="1">
        <v>20</v>
      </c>
      <c r="E101" s="1">
        <v>10</v>
      </c>
      <c r="F101" s="1">
        <v>-40</v>
      </c>
      <c r="G101" t="s">
        <v>19</v>
      </c>
    </row>
    <row r="102" spans="1:7" x14ac:dyDescent="0.25">
      <c r="A102">
        <v>14</v>
      </c>
      <c r="B102">
        <v>6</v>
      </c>
      <c r="C102" s="1">
        <v>30</v>
      </c>
      <c r="D102" s="1">
        <v>20</v>
      </c>
      <c r="E102" s="1">
        <v>0</v>
      </c>
      <c r="F102" s="1">
        <v>-50</v>
      </c>
      <c r="G102" t="s">
        <v>7</v>
      </c>
    </row>
    <row r="103" spans="1:7" x14ac:dyDescent="0.25">
      <c r="A103" t="s">
        <v>20</v>
      </c>
      <c r="C103" s="1">
        <f>SUBTOTAL(109,qry_Player_Game_Stats[BuyIn])</f>
        <v>3030</v>
      </c>
      <c r="D103" s="1">
        <f>SUBTOTAL(109,qry_Player_Game_Stats[Rebuy])</f>
        <v>1550</v>
      </c>
      <c r="E103" s="1">
        <f>SUBTOTAL(109,qry_Player_Game_Stats[CashOut])</f>
        <v>4530</v>
      </c>
      <c r="F103" s="1">
        <f>SUBTOTAL(109,qry_Player_Game_Stats[ROI])</f>
        <v>-50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2"/>
  <sheetViews>
    <sheetView workbookViewId="0">
      <selection activeCell="W4" sqref="W4:X17"/>
    </sheetView>
  </sheetViews>
  <sheetFormatPr defaultRowHeight="15" x14ac:dyDescent="0.25"/>
  <cols>
    <col min="1" max="1" width="18" bestFit="1" customWidth="1"/>
    <col min="2" max="2" width="21.42578125" bestFit="1" customWidth="1"/>
  </cols>
  <sheetData>
    <row r="1" spans="1:2" x14ac:dyDescent="0.25">
      <c r="A1" s="3" t="s">
        <v>40</v>
      </c>
      <c r="B1" s="4" t="s">
        <v>60</v>
      </c>
    </row>
    <row r="2" spans="1:2" x14ac:dyDescent="0.25">
      <c r="A2" s="5" t="s">
        <v>7</v>
      </c>
      <c r="B2" s="6">
        <v>220</v>
      </c>
    </row>
    <row r="3" spans="1:2" x14ac:dyDescent="0.25">
      <c r="A3" s="5" t="s">
        <v>3</v>
      </c>
      <c r="B3" s="6">
        <v>125</v>
      </c>
    </row>
    <row r="4" spans="1:2" x14ac:dyDescent="0.25">
      <c r="A4" s="5" t="s">
        <v>2</v>
      </c>
      <c r="B4" s="6">
        <v>85</v>
      </c>
    </row>
    <row r="5" spans="1:2" x14ac:dyDescent="0.25">
      <c r="A5" s="5" t="s">
        <v>6</v>
      </c>
      <c r="B5" s="6">
        <v>15</v>
      </c>
    </row>
    <row r="6" spans="1:2" x14ac:dyDescent="0.25">
      <c r="A6" s="5" t="s">
        <v>8</v>
      </c>
      <c r="B6" s="6">
        <v>-15</v>
      </c>
    </row>
    <row r="7" spans="1:2" x14ac:dyDescent="0.25">
      <c r="A7" s="5" t="s">
        <v>5</v>
      </c>
      <c r="B7" s="6">
        <v>-50</v>
      </c>
    </row>
    <row r="8" spans="1:2" x14ac:dyDescent="0.25">
      <c r="A8" s="5" t="s">
        <v>4</v>
      </c>
      <c r="B8" s="6">
        <v>-60</v>
      </c>
    </row>
    <row r="9" spans="1:2" x14ac:dyDescent="0.25">
      <c r="A9" s="5" t="s">
        <v>9</v>
      </c>
      <c r="B9" s="6">
        <v>-80</v>
      </c>
    </row>
    <row r="10" spans="1:2" x14ac:dyDescent="0.25">
      <c r="A10" s="5" t="s">
        <v>12</v>
      </c>
      <c r="B10" s="6">
        <v>-95</v>
      </c>
    </row>
    <row r="11" spans="1:2" x14ac:dyDescent="0.25">
      <c r="A11" s="5" t="s">
        <v>19</v>
      </c>
      <c r="B11" s="6">
        <v>-195</v>
      </c>
    </row>
    <row r="12" spans="1:2" x14ac:dyDescent="0.25">
      <c r="A12" s="5" t="s">
        <v>18</v>
      </c>
      <c r="B12" s="6">
        <v>-50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06A11BA8-1329-4F17-A6F7-16AC81B74ED4}">
  <ds:schemaRefs/>
</ds:datastoreItem>
</file>

<file path=customXml/itemProps2.xml><?xml version="1.0" encoding="utf-8"?>
<ds:datastoreItem xmlns:ds="http://schemas.openxmlformats.org/officeDocument/2006/customXml" ds:itemID="{E4DD822A-4163-4CD9-A0D7-B0A83C19D36C}">
  <ds:schemaRefs/>
</ds:datastoreItem>
</file>

<file path=customXml/itemProps3.xml><?xml version="1.0" encoding="utf-8"?>
<ds:datastoreItem xmlns:ds="http://schemas.openxmlformats.org/officeDocument/2006/customXml" ds:itemID="{5088E64E-04E5-4F4E-9D86-720F277BFA02}">
  <ds:schemaRefs/>
</ds:datastoreItem>
</file>

<file path=customXml/itemProps4.xml><?xml version="1.0" encoding="utf-8"?>
<ds:datastoreItem xmlns:ds="http://schemas.openxmlformats.org/officeDocument/2006/customXml" ds:itemID="{16C5737E-864C-4E09-840C-00132DF78373}">
  <ds:schemaRefs/>
</ds:datastoreItem>
</file>

<file path=customXml/itemProps5.xml><?xml version="1.0" encoding="utf-8"?>
<ds:datastoreItem xmlns:ds="http://schemas.openxmlformats.org/officeDocument/2006/customXml" ds:itemID="{20D7618C-F06D-438C-AC4E-D243BF483AAA}">
  <ds:schemaRefs/>
</ds:datastoreItem>
</file>

<file path=customXml/itemProps6.xml><?xml version="1.0" encoding="utf-8"?>
<ds:datastoreItem xmlns:ds="http://schemas.openxmlformats.org/officeDocument/2006/customXml" ds:itemID="{8ACF3527-FDDD-4859-9E5D-941BB7B79524}">
  <ds:schemaRefs/>
</ds:datastoreItem>
</file>

<file path=customXml/itemProps7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C894BA95-1995-400D-A208-11DC5B90D09E}">
  <ds:schemaRefs/>
</ds:datastoreItem>
</file>

<file path=customXml/itemProps9.xml><?xml version="1.0" encoding="utf-8"?>
<ds:datastoreItem xmlns:ds="http://schemas.openxmlformats.org/officeDocument/2006/customXml" ds:itemID="{E22527E4-B860-4535-B17A-A93D3655B951}">
  <ds:schemaRefs/>
</ds:datastoreItem>
</file>

<file path=customXml/itemProps10.xml><?xml version="1.0" encoding="utf-8"?>
<ds:datastoreItem xmlns:ds="http://schemas.openxmlformats.org/officeDocument/2006/customXml" ds:itemID="{E5FDCA03-C120-4611-B039-472D56F094FD}">
  <ds:schemaRefs/>
</ds:datastoreItem>
</file>

<file path=customXml/itemProps11.xml><?xml version="1.0" encoding="utf-8"?>
<ds:datastoreItem xmlns:ds="http://schemas.openxmlformats.org/officeDocument/2006/customXml" ds:itemID="{399692C2-E30F-49D2-9780-6E4D69D49614}">
  <ds:schemaRefs/>
</ds:datastoreItem>
</file>

<file path=customXml/itemProps12.xml><?xml version="1.0" encoding="utf-8"?>
<ds:datastoreItem xmlns:ds="http://schemas.openxmlformats.org/officeDocument/2006/customXml" ds:itemID="{F6498384-A532-4A44-872F-6DB322D4F751}">
  <ds:schemaRefs/>
</ds:datastoreItem>
</file>

<file path=customXml/itemProps13.xml><?xml version="1.0" encoding="utf-8"?>
<ds:datastoreItem xmlns:ds="http://schemas.openxmlformats.org/officeDocument/2006/customXml" ds:itemID="{BDB42571-C5C3-4104-8C92-59E174E10DA2}">
  <ds:schemaRefs/>
</ds:datastoreItem>
</file>

<file path=customXml/itemProps14.xml><?xml version="1.0" encoding="utf-8"?>
<ds:datastoreItem xmlns:ds="http://schemas.openxmlformats.org/officeDocument/2006/customXml" ds:itemID="{2972A693-C4F0-4880-9781-DC7E5D6A041D}">
  <ds:schemaRefs/>
</ds:datastoreItem>
</file>

<file path=customXml/itemProps15.xml><?xml version="1.0" encoding="utf-8"?>
<ds:datastoreItem xmlns:ds="http://schemas.openxmlformats.org/officeDocument/2006/customXml" ds:itemID="{64E0011E-01AE-4F2E-AFAD-990D974B5E40}">
  <ds:schemaRefs/>
</ds:datastoreItem>
</file>

<file path=customXml/itemProps16.xml><?xml version="1.0" encoding="utf-8"?>
<ds:datastoreItem xmlns:ds="http://schemas.openxmlformats.org/officeDocument/2006/customXml" ds:itemID="{3DCDEB18-18D3-4536-9644-AD6546AB4EC2}">
  <ds:schemaRefs/>
</ds:datastoreItem>
</file>

<file path=customXml/itemProps17.xml><?xml version="1.0" encoding="utf-8"?>
<ds:datastoreItem xmlns:ds="http://schemas.openxmlformats.org/officeDocument/2006/customXml" ds:itemID="{AF752C8A-BF7C-46A3-ABB5-D2E379A5FC7B}">
  <ds:schemaRefs/>
</ds:datastoreItem>
</file>

<file path=customXml/itemProps18.xml><?xml version="1.0" encoding="utf-8"?>
<ds:datastoreItem xmlns:ds="http://schemas.openxmlformats.org/officeDocument/2006/customXml" ds:itemID="{FB0A2152-370C-423B-ABDF-4E5B917EED50}">
  <ds:schemaRefs/>
</ds:datastoreItem>
</file>

<file path=customXml/itemProps19.xml><?xml version="1.0" encoding="utf-8"?>
<ds:datastoreItem xmlns:ds="http://schemas.openxmlformats.org/officeDocument/2006/customXml" ds:itemID="{69E76DC4-83E5-4FEB-860C-2098AEFB3AB5}">
  <ds:schemaRefs/>
</ds:datastoreItem>
</file>

<file path=customXml/itemProps20.xml><?xml version="1.0" encoding="utf-8"?>
<ds:datastoreItem xmlns:ds="http://schemas.openxmlformats.org/officeDocument/2006/customXml" ds:itemID="{C04DCE70-D88D-459D-B9C0-FAF7324E72A5}">
  <ds:schemaRefs/>
</ds:datastoreItem>
</file>

<file path=customXml/itemProps21.xml><?xml version="1.0" encoding="utf-8"?>
<ds:datastoreItem xmlns:ds="http://schemas.openxmlformats.org/officeDocument/2006/customXml" ds:itemID="{6DED8B6B-928E-472A-85EF-51D6AC32C004}">
  <ds:schemaRefs/>
</ds:datastoreItem>
</file>

<file path=customXml/itemProps22.xml><?xml version="1.0" encoding="utf-8"?>
<ds:datastoreItem xmlns:ds="http://schemas.openxmlformats.org/officeDocument/2006/customXml" ds:itemID="{067AED0F-322C-4C88-A1DC-251216C822D1}">
  <ds:schemaRefs/>
</ds:datastoreItem>
</file>

<file path=customXml/itemProps23.xml><?xml version="1.0" encoding="utf-8"?>
<ds:datastoreItem xmlns:ds="http://schemas.openxmlformats.org/officeDocument/2006/customXml" ds:itemID="{CB20A191-66C0-4844-8DC0-E52381454311}">
  <ds:schemaRefs/>
</ds:datastoreItem>
</file>

<file path=customXml/itemProps24.xml><?xml version="1.0" encoding="utf-8"?>
<ds:datastoreItem xmlns:ds="http://schemas.openxmlformats.org/officeDocument/2006/customXml" ds:itemID="{DBF639B8-23C1-467F-B91C-303D727B934C}">
  <ds:schemaRefs/>
</ds:datastoreItem>
</file>

<file path=customXml/itemProps25.xml><?xml version="1.0" encoding="utf-8"?>
<ds:datastoreItem xmlns:ds="http://schemas.openxmlformats.org/officeDocument/2006/customXml" ds:itemID="{3E56DDF0-C0AB-4E6B-BC9D-29A7E88EE79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Champions 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List of Cashouts per player for</vt:lpstr>
      <vt:lpstr>qry_Player_Game_Stats</vt:lpstr>
      <vt:lpstr>Sum of ROI</vt:lpstr>
      <vt:lpstr>Chart AVG cash out</vt:lpstr>
      <vt:lpstr>Chart of League Points 2026</vt:lpstr>
      <vt:lpstr>Chart League Payments 2026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2026-06-12T17:55:44Z</cp:lastPrinted>
  <dcterms:created xsi:type="dcterms:W3CDTF">2026-01-03T10:30:32Z</dcterms:created>
  <dcterms:modified xsi:type="dcterms:W3CDTF">2026-06-13T10:59:49Z</dcterms:modified>
</cp:coreProperties>
</file>