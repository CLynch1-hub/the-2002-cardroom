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7.xml" ContentType="application/vnd.openxmlformats-officedocument.spreadsheetml.pivot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Ciaran Lynch\Desktop\Poker\Poker League 2026\"/>
    </mc:Choice>
  </mc:AlternateContent>
  <xr:revisionPtr revIDLastSave="0" documentId="13_ncr:1_{24A0565D-C943-49B2-AACE-9BBBD12B2503}" xr6:coauthVersionLast="47" xr6:coauthVersionMax="47" xr10:uidLastSave="{00000000-0000-0000-0000-000000000000}"/>
  <bookViews>
    <workbookView xWindow="-120" yWindow="-120" windowWidth="29040" windowHeight="15840" firstSheet="1" activeTab="3" xr2:uid="{06FE5760-65FE-48A1-A895-CC350D9C2D98}"/>
  </bookViews>
  <sheets>
    <sheet name="Player_Game_Stats" sheetId="4" state="hidden" r:id="rId1"/>
    <sheet name="Chart AVG cash out" sheetId="26" r:id="rId2"/>
    <sheet name="Chart League Payments 2026" sheetId="34" r:id="rId3"/>
    <sheet name="Chart of League Points 2026" sheetId="29" r:id="rId4"/>
    <sheet name="Chart of Hosts" sheetId="28" r:id="rId5"/>
    <sheet name="Champions League Payment 2026" sheetId="12" r:id="rId6"/>
    <sheet name="qry_Players" sheetId="21" r:id="rId7"/>
    <sheet name="qry_Game_Number" sheetId="22" r:id="rId8"/>
    <sheet name="qry_Player_Game_Stats_2026" sheetId="23" r:id="rId9"/>
    <sheet name="Top 10 per player for 2025 and " sheetId="24" r:id="rId10"/>
    <sheet name="Players Top 10 for 2026" sheetId="30" r:id="rId11"/>
    <sheet name="List of Cashouts per player for" sheetId="31" r:id="rId12"/>
    <sheet name="qry_Player_Game_Stats" sheetId="32" r:id="rId13"/>
    <sheet name="Sum of ROI" sheetId="33" r:id="rId14"/>
  </sheets>
  <definedNames>
    <definedName name="_xlcn.WorksheetConnection_PokerLeague2026.xlsmList_of_Cashouts_per_player_for_20261" hidden="1">List_of_Cashouts_per_player_for_2026[]</definedName>
    <definedName name="_xlcn.WorksheetConnection_PokerLeague2026.xlsmqry_Players1" hidden="1">qry_Players[]</definedName>
    <definedName name="ExternalData_1" localSheetId="0" hidden="1">Player_Game_Stats!$A$1:$E$58</definedName>
    <definedName name="ExternalData_1" localSheetId="12" hidden="1">qry_Player_Game_Stats!$A$1:$G$88</definedName>
    <definedName name="ExternalData_1" localSheetId="6" hidden="1">qry_Players!$A$1:$B$13</definedName>
    <definedName name="ExternalData_2" localSheetId="10" hidden="1">'Players Top 10 for 2026'!$A$1:$E$11</definedName>
    <definedName name="ExternalData_2" localSheetId="7" hidden="1">qry_Game_Number!$A$1:$D$13</definedName>
    <definedName name="ExternalData_3" localSheetId="11" hidden="1">'List of Cashouts per player for'!$A$1:$F$39</definedName>
    <definedName name="ExternalData_3" localSheetId="8" hidden="1">qry_Player_Game_Stats_2026!$A$1:$H$39</definedName>
    <definedName name="ExternalData_4" localSheetId="9" hidden="1">'Top 10 per player for 2025 and '!$A$1:$E$11</definedName>
  </definedNames>
  <calcPr calcId="191029"/>
  <pivotCaches>
    <pivotCache cacheId="19" r:id="rId15"/>
    <pivotCache cacheId="22" r:id="rId16"/>
    <pivotCache cacheId="25" r:id="rId17"/>
    <pivotCache cacheId="28" r:id="rId18"/>
    <pivotCache cacheId="36" r:id="rId19"/>
    <pivotCache cacheId="40" r:id="rId20"/>
    <pivotCache cacheId="44" r:id="rId21"/>
  </pivotCaches>
  <extLst>
    <ext xmlns:x15="http://schemas.microsoft.com/office/spreadsheetml/2010/11/main" uri="{841E416B-1EF1-43b6-AB56-02D37102CBD5}">
      <x15:pivotCaches>
        <pivotCache cacheId="10" r:id="rId22"/>
      </x15:pivotCaches>
    </ext>
    <ext xmlns:x15="http://schemas.microsoft.com/office/spreadsheetml/2010/11/main" uri="{983426D0-5260-488c-9760-48F4B6AC55F4}">
      <x15:pivotTableReferences>
        <x15:pivotTableReference r:id="rId2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ry_Players 1_f2593810-08fd-4009-8b9d-c1dbf6492c19" name="qry_Players 1" connection="Query - qry_Players"/>
          <x15:modelTable id="qry_Game_Number_531e3da7-6a00-48c9-9a09-5845baf82244" name="qry_Game_Number" connection="Query - qry_Game_Number"/>
          <x15:modelTable id="qry_Player_Game_Stats_2026_6971803f-a70c-49da-b572-a6581fcbe8cd" name="qry_Player_Game_Stats_2026" connection="Query - qry_Player_Game_Stats_2026"/>
          <x15:modelTable id="Top 10 per player for 2025 and 2026_731dabda-4879-4646-9a2b-47d7eb84ee72" name="Top 10 per player for 2025 and 2026" connection="Query - Top 10 per player for 2025 and 2026"/>
          <x15:modelTable id="qry_Player_Game_Stats_78a5deb1-5335-40c4-bf44-9df112b098e7" name="qry_Player_Game_Stats" connection="Query - qry_Player_Game_Stats"/>
          <x15:modelTable id="List of Cashouts per player for 2026_6623f430-c39e-4320-b93f-a10596031cc6" name="List of Cashouts per player for 2026" connection="Query - List of Cashouts per player for 2026"/>
          <x15:modelTable id="qry_Players" name="qry_Players" connection="WorksheetConnection_Poker League 2026.xlsm!qry_Players"/>
          <x15:modelTable id="List_of_Cashouts_per_player_for_2026" name="List_of_Cashouts_per_player_for_2026" connection="WorksheetConnection_Poker League 2026.xlsm!List_of_Cashouts_per_player_for_2026"/>
        </x15:modelTables>
        <x15:modelRelationships>
          <x15:modelRelationship fromTable="qry_Player_Game_Stats_2026" fromColumn="Player_No" toTable="qry_Players" toColumn="Player_No"/>
          <x15:modelRelationship fromTable="qry_Player_Game_Stats_2026" fromColumn="Game_ID" toTable="qry_Game_Number" toColumn="Gam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23" l="1"/>
  <c r="E40" i="23"/>
  <c r="F40" i="23"/>
  <c r="G40" i="23"/>
  <c r="H40" i="23"/>
  <c r="C89" i="32"/>
  <c r="D89" i="32"/>
  <c r="E89" i="32"/>
  <c r="F89" i="32"/>
  <c r="D40" i="31"/>
  <c r="E40" i="31"/>
  <c r="F40" i="31"/>
  <c r="C12" i="24"/>
  <c r="D12" i="24"/>
  <c r="E12" i="24"/>
  <c r="C56" i="12"/>
  <c r="C57" i="12"/>
  <c r="C58" i="12"/>
  <c r="C59" i="12"/>
  <c r="C60" i="12"/>
  <c r="C61" i="12"/>
  <c r="C62" i="12"/>
  <c r="C63" i="12"/>
  <c r="C64" i="12"/>
  <c r="C55" i="12"/>
  <c r="D65" i="12"/>
  <c r="B65" i="12"/>
  <c r="C65" i="12" l="1"/>
  <c r="E15" i="12"/>
  <c r="P15" i="12" l="1"/>
  <c r="O15" i="12"/>
  <c r="N15" i="12"/>
  <c r="M15" i="12"/>
  <c r="L15" i="12"/>
  <c r="K15" i="12"/>
  <c r="J15" i="12"/>
  <c r="I15" i="12"/>
  <c r="H15" i="12"/>
  <c r="G15" i="12"/>
  <c r="F15" i="12"/>
  <c r="D15" i="12"/>
  <c r="Q3" i="12" l="1"/>
  <c r="Q4" i="12"/>
  <c r="Q5" i="12"/>
  <c r="Q6" i="12"/>
  <c r="Q7" i="12"/>
  <c r="Q8" i="12"/>
  <c r="Q9" i="12"/>
  <c r="Q10" i="12"/>
  <c r="Q11" i="12"/>
  <c r="Q12" i="12"/>
  <c r="Q13" i="12"/>
  <c r="Q14" i="12"/>
  <c r="C15" i="12"/>
  <c r="Q15" i="1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99748A-21CB-43F8-9DFE-F1F3781FFF87}" keepAlive="1" name="ModelConnection_ExternalData_1" description="Data Model" type="5" refreshedVersion="8" minRefreshableVersion="5" saveData="1">
    <dbPr connection="Data Model Connection" command="qry_Players 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106EA6D7-737F-4210-A192-865D67569789}" keepAlive="1" name="ModelConnection_ExternalData_11" description="Data Model" type="5" refreshedVersion="8" minRefreshableVersion="5" saveData="1">
    <dbPr connection="Data Model Connection" command="qry_Player_Game_Stat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3376C652-EA1F-4C30-BD3F-625FDD8CD761}" keepAlive="1" name="ModelConnection_ExternalData_2" description="Data Model" type="5" refreshedVersion="8" minRefreshableVersion="5" saveData="1">
    <dbPr connection="Data Model Connection" command="qry_Game_Number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01E0FF3C-EF36-4720-9900-89791D1750B8}" keepAlive="1" name="ModelConnection_ExternalData_3" description="Data Model" type="5" refreshedVersion="8" minRefreshableVersion="5" saveData="1">
    <dbPr connection="Data Model Connection" command="qry_Player_Game_Stats_2026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6025450E-665B-46AD-9691-729EC4E04EBD}" keepAlive="1" name="ModelConnection_ExternalData_31" description="Data Model" type="5" refreshedVersion="8" minRefreshableVersion="5" saveData="1">
    <dbPr connection="Data Model Connection" command="List of Cashouts per player for 2026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09906F8B-A081-4899-8E75-F4F2077A8EFA}" keepAlive="1" name="ModelConnection_ExternalData_4" description="Data Model" type="5" refreshedVersion="8" minRefreshableVersion="5" saveData="1">
    <dbPr connection="Data Model Connection" command="Top 10 per player for 2025 and 2026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036CFB12-F1BB-4CB7-8B2D-D9065A4F7E22}" name="Query - List of Cashouts per player for 2026" description="Connection to the 'List of Cashouts per player for 2026' query in the workbook." type="100" refreshedVersion="8" minRefreshableVersion="5">
    <extLst>
      <ext xmlns:x15="http://schemas.microsoft.com/office/spreadsheetml/2010/11/main" uri="{DE250136-89BD-433C-8126-D09CA5730AF9}">
        <x15:connection id="614edceb-4fbb-4e65-8ef5-d1bc955e59f0"/>
      </ext>
    </extLst>
  </connection>
  <connection id="8" xr16:uid="{456A9579-BD6B-44CD-AEDA-F51C028B6E9A}" keepAlive="1" name="Query - Players Top 10 for 2026(1)" description="Connection to the 'Players Top 10 for 2026' query in the workbook." type="5" refreshedVersion="8" background="1" saveData="1">
    <dbPr connection="Provider=Microsoft.Mashup.OleDb.1;Data Source=$Workbook$;Location=&quot;Players Top 10 for 2026&quot;;Extended Properties=&quot;&quot;" command="SELECT * FROM [Players Top 10 for 2026]"/>
  </connection>
  <connection id="9" xr16:uid="{1206F0A8-72D3-468D-8EC2-29BF1A905150}" name="Query - qry_Game_Number" description="Connection to the 'qry_Game_Number' query in the workbook." type="100" refreshedVersion="8" minRefreshableVersion="5">
    <extLst>
      <ext xmlns:x15="http://schemas.microsoft.com/office/spreadsheetml/2010/11/main" uri="{DE250136-89BD-433C-8126-D09CA5730AF9}">
        <x15:connection id="6d1c2470-5534-4119-99f0-cefc5ce05265"/>
      </ext>
    </extLst>
  </connection>
  <connection id="10" xr16:uid="{E538BD85-A972-4089-A23E-2C94A53E64E7}" name="Query - qry_Player_Game_Stats" description="Connection to the 'qry_Player_Game_Stats' query in the workbook." type="100" refreshedVersion="8" minRefreshableVersion="5">
    <extLst>
      <ext xmlns:x15="http://schemas.microsoft.com/office/spreadsheetml/2010/11/main" uri="{DE250136-89BD-433C-8126-D09CA5730AF9}">
        <x15:connection id="2e6ed332-7956-49c7-bf5d-d5e337482b1b"/>
      </ext>
    </extLst>
  </connection>
  <connection id="11" xr16:uid="{6A0A46B6-6FB9-493E-9EDE-8835D3ED8CBD}" name="Query - qry_Player_Game_Stats_2026" description="Connection to the 'qry_Player_Game_Stats_2026' query in the workbook." type="100" refreshedVersion="8" minRefreshableVersion="5">
    <extLst>
      <ext xmlns:x15="http://schemas.microsoft.com/office/spreadsheetml/2010/11/main" uri="{DE250136-89BD-433C-8126-D09CA5730AF9}">
        <x15:connection id="3947d01c-55b7-4ff9-a765-d2a85408d836"/>
      </ext>
    </extLst>
  </connection>
  <connection id="12" xr16:uid="{95720088-B7E0-42CD-A152-8EFBFB8651E8}" name="Query - qry_Players" description="Connection to the 'qry_Players' query in the workbook." type="100" refreshedVersion="8" minRefreshableVersion="5">
    <extLst>
      <ext xmlns:x15="http://schemas.microsoft.com/office/spreadsheetml/2010/11/main" uri="{DE250136-89BD-433C-8126-D09CA5730AF9}">
        <x15:connection id="3c0f59a5-551f-4943-ac9f-a619778dee87"/>
      </ext>
    </extLst>
  </connection>
  <connection id="13" xr16:uid="{C1473550-0B2C-49EB-8959-B2731616FEAC}" name="Query - Top 10 per player for 2025 and 2026" description="Connection to the 'Top 10 per player for 2025 and 2026' query in the workbook." type="100" refreshedVersion="8" minRefreshableVersion="5">
    <extLst>
      <ext xmlns:x15="http://schemas.microsoft.com/office/spreadsheetml/2010/11/main" uri="{DE250136-89BD-433C-8126-D09CA5730AF9}">
        <x15:connection id="2e701b0d-5a62-4553-85a4-b95e92cc91bd"/>
      </ext>
    </extLst>
  </connection>
  <connection id="14" xr16:uid="{229E58A8-1654-4C38-8766-545F58CE51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5" xr16:uid="{9CE26CED-6068-4465-902F-4B15F87CB6BC}" name="WorksheetConnection_Poker League 2026.xlsm!List_of_Cashouts_per_player_for_2026" type="102" refreshedVersion="8" minRefreshableVersion="5">
    <extLst>
      <ext xmlns:x15="http://schemas.microsoft.com/office/spreadsheetml/2010/11/main" uri="{DE250136-89BD-433C-8126-D09CA5730AF9}">
        <x15:connection id="List_of_Cashouts_per_player_for_2026">
          <x15:rangePr sourceName="_xlcn.WorksheetConnection_PokerLeague2026.xlsmList_of_Cashouts_per_player_for_20261"/>
        </x15:connection>
      </ext>
    </extLst>
  </connection>
  <connection id="16" xr16:uid="{716EB67E-A934-4A8A-B2FC-4AEE88E0DE05}" name="WorksheetConnection_Poker League 2026.xlsm!qry_Players" type="102" refreshedVersion="8" minRefreshableVersion="5">
    <extLst>
      <ext xmlns:x15="http://schemas.microsoft.com/office/spreadsheetml/2010/11/main" uri="{DE250136-89BD-433C-8126-D09CA5730AF9}">
        <x15:connection id="qry_Players">
          <x15:rangePr sourceName="_xlcn.WorksheetConnection_PokerLeague2026.xlsmqry_Players1"/>
        </x15:connection>
      </ext>
    </extLst>
  </connection>
</connections>
</file>

<file path=xl/sharedStrings.xml><?xml version="1.0" encoding="utf-8"?>
<sst xmlns="http://schemas.openxmlformats.org/spreadsheetml/2006/main" count="414" uniqueCount="78">
  <si>
    <t>PlayerNo</t>
  </si>
  <si>
    <t>FullName</t>
  </si>
  <si>
    <t>Martin Hunter</t>
  </si>
  <si>
    <t>Ciaran Lynch</t>
  </si>
  <si>
    <t>Barry Hunter</t>
  </si>
  <si>
    <t>Seamus Diver</t>
  </si>
  <si>
    <t>Morgan Mooney</t>
  </si>
  <si>
    <t>Kevin Lee</t>
  </si>
  <si>
    <t>Brendan Stevenson</t>
  </si>
  <si>
    <t>Steven Black</t>
  </si>
  <si>
    <t>Brian Stevenson</t>
  </si>
  <si>
    <t>Ronan Curran</t>
  </si>
  <si>
    <t>Mark Hunter</t>
  </si>
  <si>
    <t>Game_Date</t>
  </si>
  <si>
    <t>Game_Number</t>
  </si>
  <si>
    <t>BuyIn</t>
  </si>
  <si>
    <t>Rebuy</t>
  </si>
  <si>
    <t>CashOut</t>
  </si>
  <si>
    <t>Grand Total</t>
  </si>
  <si>
    <t>Ryan Mc Elchar</t>
  </si>
  <si>
    <t>Total</t>
  </si>
  <si>
    <t>Game_ID</t>
  </si>
  <si>
    <t>Player_No</t>
  </si>
  <si>
    <t>23/01/2026</t>
  </si>
  <si>
    <t>League Payments 2026</t>
  </si>
  <si>
    <t>Week5</t>
  </si>
  <si>
    <t>Week6</t>
  </si>
  <si>
    <t>Week7</t>
  </si>
  <si>
    <t>Week8</t>
  </si>
  <si>
    <t>Week9</t>
  </si>
  <si>
    <t>Week10</t>
  </si>
  <si>
    <t>Week11</t>
  </si>
  <si>
    <t>Week12</t>
  </si>
  <si>
    <t>Week13</t>
  </si>
  <si>
    <t>Week14</t>
  </si>
  <si>
    <t>League_Points</t>
  </si>
  <si>
    <t>Player</t>
  </si>
  <si>
    <t>ROI</t>
  </si>
  <si>
    <t>Sum of ROI</t>
  </si>
  <si>
    <t>Player_Name</t>
  </si>
  <si>
    <t>Player_No_Host</t>
  </si>
  <si>
    <t>qry_Players.Player_Name</t>
  </si>
  <si>
    <t>League Points</t>
  </si>
  <si>
    <t>Row Labels</t>
  </si>
  <si>
    <t>Sum of League Points</t>
  </si>
  <si>
    <t>Count of Player_No_Host</t>
  </si>
  <si>
    <t>Pivot of Hosts</t>
  </si>
  <si>
    <t>Player ROI</t>
  </si>
  <si>
    <t>Player_no</t>
  </si>
  <si>
    <t>Total_Cash_Out</t>
  </si>
  <si>
    <t>Games_Played</t>
  </si>
  <si>
    <t>Average Cash Per Game 2025 - 2026</t>
  </si>
  <si>
    <t>Sum of Average Cash Per Game 2025 - 2026</t>
  </si>
  <si>
    <t>Total_Cashout</t>
  </si>
  <si>
    <t>Appearances</t>
  </si>
  <si>
    <t>.</t>
  </si>
  <si>
    <t>Date</t>
  </si>
  <si>
    <t>Game_No</t>
  </si>
  <si>
    <t>Column Labels</t>
  </si>
  <si>
    <t>Nightly Results</t>
  </si>
  <si>
    <t>Cashout</t>
  </si>
  <si>
    <t>League Payment</t>
  </si>
  <si>
    <t>13/02/2026</t>
  </si>
  <si>
    <t>Sum of ROI 2025 - 2026</t>
  </si>
  <si>
    <t>Sum of League Payments</t>
  </si>
  <si>
    <t>06/03/2026</t>
  </si>
  <si>
    <t>03/04/2026</t>
  </si>
  <si>
    <t>Tournament Champions League Winner</t>
  </si>
  <si>
    <t>League Winner</t>
  </si>
  <si>
    <t>2nd Place</t>
  </si>
  <si>
    <t>3rd Place</t>
  </si>
  <si>
    <t>4th Place</t>
  </si>
  <si>
    <t>5th Place</t>
  </si>
  <si>
    <t>6th Place</t>
  </si>
  <si>
    <t>7th Place</t>
  </si>
  <si>
    <t>8th Place</t>
  </si>
  <si>
    <t>9th Place</t>
  </si>
  <si>
    <t>League Payout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</si>
</sst>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€&quot;#,##0.00;\-&quot;€&quot;#,##0.00"/>
    <numFmt numFmtId="164" formatCode="&quot;€&quot;#,##0.00"/>
    <numFmt numFmtId="165" formatCode="0_ ;\-0\ "/>
    <numFmt numFmtId="166" formatCode="[$-1809]d\ mmmm\ yyyy;@"/>
    <numFmt numFmtId="167" formatCode="&quot;€&quot;#,##0.00;\-&quot;€&quot;#,##0.00;&quot;€&quot;#,##0.00"/>
  </numFmts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165" fontId="0" fillId="0" borderId="1" xfId="0" applyNumberFormat="1" applyBorder="1"/>
    <xf numFmtId="0" fontId="4" fillId="3" borderId="3" xfId="0" applyFont="1" applyFill="1" applyBorder="1"/>
    <xf numFmtId="0" fontId="4" fillId="3" borderId="4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5" fillId="0" borderId="0" xfId="0" applyNumberFormat="1" applyFont="1"/>
    <xf numFmtId="7" fontId="0" fillId="0" borderId="0" xfId="0" applyNumberFormat="1"/>
    <xf numFmtId="14" fontId="4" fillId="3" borderId="4" xfId="0" applyNumberFormat="1" applyFont="1" applyFill="1" applyBorder="1"/>
    <xf numFmtId="164" fontId="0" fillId="2" borderId="4" xfId="0" applyNumberFormat="1" applyFill="1" applyBorder="1"/>
    <xf numFmtId="164" fontId="0" fillId="0" borderId="4" xfId="0" applyNumberFormat="1" applyBorder="1"/>
    <xf numFmtId="166" fontId="5" fillId="0" borderId="0" xfId="0" applyNumberFormat="1" applyFont="1" applyAlignment="1">
      <alignment horizontal="center"/>
    </xf>
    <xf numFmtId="0" fontId="0" fillId="0" borderId="6" xfId="0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7" xfId="0" applyFont="1" applyBorder="1" applyAlignment="1">
      <alignment horizontal="left"/>
    </xf>
    <xf numFmtId="10" fontId="5" fillId="0" borderId="7" xfId="0" applyNumberFormat="1" applyFont="1" applyBorder="1"/>
    <xf numFmtId="164" fontId="5" fillId="0" borderId="7" xfId="0" applyNumberFormat="1" applyFont="1" applyBorder="1"/>
    <xf numFmtId="0" fontId="5" fillId="0" borderId="0" xfId="0" applyFont="1" applyAlignment="1">
      <alignment horizontal="left"/>
    </xf>
    <xf numFmtId="2" fontId="0" fillId="0" borderId="0" xfId="0" applyNumberFormat="1"/>
    <xf numFmtId="0" fontId="2" fillId="0" borderId="0" xfId="0" applyFont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0" xfId="0" applyNumberFormat="1"/>
    <xf numFmtId="167" fontId="0" fillId="0" borderId="1" xfId="0" applyNumberFormat="1" applyBorder="1"/>
    <xf numFmtId="0" fontId="0" fillId="0" borderId="1" xfId="0" applyNumberFormat="1" applyBorder="1"/>
    <xf numFmtId="0" fontId="5" fillId="0" borderId="0" xfId="0" applyNumberFormat="1" applyFont="1"/>
  </cellXfs>
  <cellStyles count="1">
    <cellStyle name="Normal" xfId="0" builtinId="0"/>
  </cellStyles>
  <dxfs count="109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9" formatCode="dd/mm/yyyy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9" formatCode="dd/mm/yy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</font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9.xml"/><Relationship Id="rId18" Type="http://schemas.openxmlformats.org/officeDocument/2006/relationships/pivotCacheDefinition" Target="pivotCache/pivotCacheDefinition4.xml"/><Relationship Id="rId26" Type="http://schemas.openxmlformats.org/officeDocument/2006/relationships/styles" Target="styles.xml"/><Relationship Id="rId39" Type="http://schemas.openxmlformats.org/officeDocument/2006/relationships/customXml" Target="../customXml/item10.xml"/><Relationship Id="rId3" Type="http://schemas.openxmlformats.org/officeDocument/2006/relationships/chartsheet" Target="chartsheets/sheet2.xml"/><Relationship Id="rId21" Type="http://schemas.openxmlformats.org/officeDocument/2006/relationships/pivotCacheDefinition" Target="pivotCache/pivotCacheDefinition7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50" Type="http://schemas.openxmlformats.org/officeDocument/2006/relationships/customXml" Target="../customXml/item21.xml"/><Relationship Id="rId7" Type="http://schemas.openxmlformats.org/officeDocument/2006/relationships/worksheet" Target="worksheets/sheet3.xml"/><Relationship Id="rId12" Type="http://schemas.openxmlformats.org/officeDocument/2006/relationships/worksheet" Target="worksheets/sheet8.xml"/><Relationship Id="rId17" Type="http://schemas.openxmlformats.org/officeDocument/2006/relationships/pivotCacheDefinition" Target="pivotCache/pivotCacheDefinition3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2" Type="http://schemas.openxmlformats.org/officeDocument/2006/relationships/chartsheet" Target="chartsheets/sheet1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29" Type="http://schemas.openxmlformats.org/officeDocument/2006/relationships/calcChain" Target="calcChain.xml"/><Relationship Id="rId41" Type="http://schemas.openxmlformats.org/officeDocument/2006/relationships/customXml" Target="../customXml/item12.xml"/><Relationship Id="rId54" Type="http://schemas.openxmlformats.org/officeDocument/2006/relationships/customXml" Target="../customXml/item2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1" Type="http://schemas.openxmlformats.org/officeDocument/2006/relationships/worksheet" Target="worksheets/sheet7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3" Type="http://schemas.openxmlformats.org/officeDocument/2006/relationships/customXml" Target="../customXml/item24.xml"/><Relationship Id="rId5" Type="http://schemas.openxmlformats.org/officeDocument/2006/relationships/chartsheet" Target="chartsheets/sheet4.xml"/><Relationship Id="rId15" Type="http://schemas.openxmlformats.org/officeDocument/2006/relationships/pivotCacheDefinition" Target="pivotCache/pivotCacheDefinition1.xml"/><Relationship Id="rId23" Type="http://schemas.openxmlformats.org/officeDocument/2006/relationships/pivotTable" Target="pivotTables/pivotTable1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49" Type="http://schemas.openxmlformats.org/officeDocument/2006/relationships/customXml" Target="../customXml/item20.xml"/><Relationship Id="rId10" Type="http://schemas.openxmlformats.org/officeDocument/2006/relationships/worksheet" Target="worksheets/sheet6.xml"/><Relationship Id="rId19" Type="http://schemas.openxmlformats.org/officeDocument/2006/relationships/pivotCacheDefinition" Target="pivotCache/pivotCacheDefinition5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52" Type="http://schemas.openxmlformats.org/officeDocument/2006/relationships/customXml" Target="../customXml/item23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5.xml"/><Relationship Id="rId14" Type="http://schemas.openxmlformats.org/officeDocument/2006/relationships/worksheet" Target="worksheets/sheet10.xml"/><Relationship Id="rId22" Type="http://schemas.openxmlformats.org/officeDocument/2006/relationships/pivotCacheDefinition" Target="pivotCache/pivotCacheDefinition8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8" Type="http://schemas.openxmlformats.org/officeDocument/2006/relationships/worksheet" Target="worksheets/sheet4.xml"/><Relationship Id="rId51" Type="http://schemas.openxmlformats.org/officeDocument/2006/relationships/customXml" Target="../customXml/item2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2026.xlsm]Top 10 per player for 2025 and !PivotTable6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Average Cash Out Per Player for 2025 - 2026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10 per player for 2025 and '!$B$16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10 per player for 2025 and '!$A$17:$A$27</c:f>
              <c:strCache>
                <c:ptCount val="10"/>
                <c:pt idx="0">
                  <c:v>Kevin Lee</c:v>
                </c:pt>
                <c:pt idx="1">
                  <c:v>Ciaran Lynch</c:v>
                </c:pt>
                <c:pt idx="2">
                  <c:v>Brendan Stevenson</c:v>
                </c:pt>
                <c:pt idx="3">
                  <c:v>Martin Hunter</c:v>
                </c:pt>
                <c:pt idx="4">
                  <c:v>Morgan Mooney</c:v>
                </c:pt>
                <c:pt idx="5">
                  <c:v>Steven Black</c:v>
                </c:pt>
                <c:pt idx="6">
                  <c:v>Barry Hunter</c:v>
                </c:pt>
                <c:pt idx="7">
                  <c:v>Mark Hunter</c:v>
                </c:pt>
                <c:pt idx="8">
                  <c:v>Seamus Diver</c:v>
                </c:pt>
                <c:pt idx="9">
                  <c:v>Ryan Mc Elchar</c:v>
                </c:pt>
              </c:strCache>
            </c:strRef>
          </c:cat>
          <c:val>
            <c:numRef>
              <c:f>'Top 10 per player for 2025 and '!$B$17:$B$27</c:f>
              <c:numCache>
                <c:formatCode>"€"#,##0.00</c:formatCode>
                <c:ptCount val="10"/>
                <c:pt idx="0">
                  <c:v>66.25</c:v>
                </c:pt>
                <c:pt idx="1">
                  <c:v>62.142899999999997</c:v>
                </c:pt>
                <c:pt idx="2">
                  <c:v>48.75</c:v>
                </c:pt>
                <c:pt idx="3">
                  <c:v>43.333300000000001</c:v>
                </c:pt>
                <c:pt idx="4">
                  <c:v>42.083300000000001</c:v>
                </c:pt>
                <c:pt idx="5">
                  <c:v>37.142899999999997</c:v>
                </c:pt>
                <c:pt idx="6">
                  <c:v>36.25</c:v>
                </c:pt>
                <c:pt idx="7">
                  <c:v>33.8889</c:v>
                </c:pt>
                <c:pt idx="8">
                  <c:v>30</c:v>
                </c:pt>
                <c:pt idx="9">
                  <c:v>8.3332999999999995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1-4790-8624-C203DE5D0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589363944"/>
        <c:axId val="589360704"/>
      </c:barChart>
      <c:catAx>
        <c:axId val="589363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60704"/>
        <c:crosses val="autoZero"/>
        <c:auto val="1"/>
        <c:lblAlgn val="ctr"/>
        <c:lblOffset val="100"/>
        <c:noMultiLvlLbl val="0"/>
      </c:catAx>
      <c:valAx>
        <c:axId val="5893607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6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2026.xlsm]Champions League Payment 2026!PivotTable2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Champions League Payments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'Champions League Payment 2026'!$B$40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'Champions League Payment 2026'!$A$41:$A$50</c:f>
              <c:strCache>
                <c:ptCount val="9"/>
                <c:pt idx="0">
                  <c:v>Morgan Mooney</c:v>
                </c:pt>
                <c:pt idx="1">
                  <c:v>Martin Hunter</c:v>
                </c:pt>
                <c:pt idx="2">
                  <c:v>Ciaran Lynch</c:v>
                </c:pt>
                <c:pt idx="3">
                  <c:v>Kevin Lee</c:v>
                </c:pt>
                <c:pt idx="4">
                  <c:v>Barry Hunter</c:v>
                </c:pt>
                <c:pt idx="5">
                  <c:v>Steven Black</c:v>
                </c:pt>
                <c:pt idx="6">
                  <c:v>Mark Hunter</c:v>
                </c:pt>
                <c:pt idx="7">
                  <c:v>Brendan Stevenson</c:v>
                </c:pt>
                <c:pt idx="8">
                  <c:v>Ryan Mc Elchar</c:v>
                </c:pt>
              </c:strCache>
            </c:strRef>
          </c:cat>
          <c:val>
            <c:numRef>
              <c:f>'Champions League Payment 2026'!$B$41:$B$50</c:f>
              <c:numCache>
                <c:formatCode>"€"#,##0.00</c:formatCode>
                <c:ptCount val="9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20</c:v>
                </c:pt>
                <c:pt idx="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F4-45D2-AE84-327EFC1D2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139543"/>
        <c:axId val="16140623"/>
        <c:axId val="0"/>
      </c:bar3DChart>
      <c:catAx>
        <c:axId val="16139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40623"/>
        <c:crosses val="autoZero"/>
        <c:auto val="1"/>
        <c:lblAlgn val="ctr"/>
        <c:lblOffset val="100"/>
        <c:noMultiLvlLbl val="0"/>
      </c:catAx>
      <c:valAx>
        <c:axId val="1614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9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2026.xlsm]qry_Player_Game_Stats_2026!PivotTable1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/>
              <a:t>League Points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qry_Player_Game_Stats_2026!$L$2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qry_Player_Game_Stats_2026!$K$3:$K$13</c:f>
              <c:strCache>
                <c:ptCount val="10"/>
                <c:pt idx="0">
                  <c:v>Kevin Lee</c:v>
                </c:pt>
                <c:pt idx="1">
                  <c:v>Morgan Mooney</c:v>
                </c:pt>
                <c:pt idx="2">
                  <c:v>Ciaran Lynch</c:v>
                </c:pt>
                <c:pt idx="3">
                  <c:v>Barry Hunter</c:v>
                </c:pt>
                <c:pt idx="4">
                  <c:v>Mark Hunter</c:v>
                </c:pt>
                <c:pt idx="5">
                  <c:v>Martin Hunter</c:v>
                </c:pt>
                <c:pt idx="6">
                  <c:v>Steven Black</c:v>
                </c:pt>
                <c:pt idx="7">
                  <c:v>Brendan Stevenson</c:v>
                </c:pt>
                <c:pt idx="8">
                  <c:v>Ryan Mc Elchar</c:v>
                </c:pt>
                <c:pt idx="9">
                  <c:v>Seamus Diver</c:v>
                </c:pt>
              </c:strCache>
            </c:strRef>
          </c:cat>
          <c:val>
            <c:numRef>
              <c:f>qry_Player_Game_Stats_2026!$L$3:$L$13</c:f>
              <c:numCache>
                <c:formatCode>0_ ;\-0\ </c:formatCode>
                <c:ptCount val="10"/>
                <c:pt idx="0">
                  <c:v>20500</c:v>
                </c:pt>
                <c:pt idx="1">
                  <c:v>13750</c:v>
                </c:pt>
                <c:pt idx="2">
                  <c:v>13750</c:v>
                </c:pt>
                <c:pt idx="3">
                  <c:v>11000</c:v>
                </c:pt>
                <c:pt idx="4">
                  <c:v>10000</c:v>
                </c:pt>
                <c:pt idx="5">
                  <c:v>8750</c:v>
                </c:pt>
                <c:pt idx="6">
                  <c:v>8500</c:v>
                </c:pt>
                <c:pt idx="7">
                  <c:v>7750</c:v>
                </c:pt>
                <c:pt idx="8">
                  <c:v>1250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0-429C-A64E-5BF98DF9E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9330824"/>
        <c:axId val="589324344"/>
        <c:axId val="0"/>
      </c:bar3DChart>
      <c:catAx>
        <c:axId val="58933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24344"/>
        <c:crosses val="autoZero"/>
        <c:auto val="1"/>
        <c:lblAlgn val="ctr"/>
        <c:lblOffset val="100"/>
        <c:noMultiLvlLbl val="0"/>
      </c:catAx>
      <c:valAx>
        <c:axId val="58932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_ ;\-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3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Game</a:t>
            </a:r>
            <a:r>
              <a:rPr lang="en-US" baseline="0"/>
              <a:t> Hosts for 2025 - 2026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Lit>
              <c:ptCount val="6"/>
              <c:pt idx="0">
                <c:v>Morgan Mooney</c:v>
              </c:pt>
              <c:pt idx="1">
                <c:v>Martin Hunter</c:v>
              </c:pt>
              <c:pt idx="2">
                <c:v>Ciaran Lynch</c:v>
              </c:pt>
              <c:pt idx="3">
                <c:v>Kevin Lee</c:v>
              </c:pt>
              <c:pt idx="4">
                <c:v>Seamus Diver</c:v>
              </c:pt>
              <c:pt idx="5">
                <c:v>Barry Hunter</c:v>
              </c:pt>
            </c:strLit>
          </c:cat>
          <c:val>
            <c:numLit>
              <c:formatCode>General</c:formatCode>
              <c:ptCount val="6"/>
              <c:pt idx="0">
                <c:v>3</c:v>
              </c:pt>
              <c:pt idx="1">
                <c:v>3</c:v>
              </c:pt>
              <c:pt idx="2">
                <c:v>2</c:v>
              </c:pt>
              <c:pt idx="3">
                <c:v>2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861E-4100-B7E6-DFEDC70D5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589312104"/>
        <c:axId val="589313904"/>
      </c:barChart>
      <c:catAx>
        <c:axId val="589312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1390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8931390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1210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[Poker League 2026.xlsm]PivotChartTable2</c15:name>
        <c15:fmtId val="3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2026.xlsm]Sum of ROI!PivotTable1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 of ROI 2025-2026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 of ROI'!$B$1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'Sum of ROI'!$A$2:$A$12</c:f>
              <c:strCache>
                <c:ptCount val="10"/>
                <c:pt idx="0">
                  <c:v>Kevin Lee</c:v>
                </c:pt>
                <c:pt idx="1">
                  <c:v>Ciaran Lynch</c:v>
                </c:pt>
                <c:pt idx="2">
                  <c:v>Martin Hunter</c:v>
                </c:pt>
                <c:pt idx="3">
                  <c:v>Brendan Stevenson</c:v>
                </c:pt>
                <c:pt idx="4">
                  <c:v>Mark Hunter</c:v>
                </c:pt>
                <c:pt idx="5">
                  <c:v>Seamus Diver</c:v>
                </c:pt>
                <c:pt idx="6">
                  <c:v>Steven Black</c:v>
                </c:pt>
                <c:pt idx="7">
                  <c:v>Morgan Mooney</c:v>
                </c:pt>
                <c:pt idx="8">
                  <c:v>Barry Hunter</c:v>
                </c:pt>
                <c:pt idx="9">
                  <c:v>Ryan Mc Elchar</c:v>
                </c:pt>
              </c:strCache>
            </c:strRef>
          </c:cat>
          <c:val>
            <c:numRef>
              <c:f>'Sum of ROI'!$B$2:$B$12</c:f>
              <c:numCache>
                <c:formatCode>"€"#,##0.00</c:formatCode>
                <c:ptCount val="10"/>
                <c:pt idx="0">
                  <c:v>235</c:v>
                </c:pt>
                <c:pt idx="1">
                  <c:v>125</c:v>
                </c:pt>
                <c:pt idx="2">
                  <c:v>50</c:v>
                </c:pt>
                <c:pt idx="3">
                  <c:v>30</c:v>
                </c:pt>
                <c:pt idx="4">
                  <c:v>-45</c:v>
                </c:pt>
                <c:pt idx="5">
                  <c:v>-60</c:v>
                </c:pt>
                <c:pt idx="6">
                  <c:v>-80</c:v>
                </c:pt>
                <c:pt idx="7">
                  <c:v>-95</c:v>
                </c:pt>
                <c:pt idx="8">
                  <c:v>-105</c:v>
                </c:pt>
                <c:pt idx="9">
                  <c:v>-105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A9-4491-865C-2143F7FA2A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17144040"/>
        <c:axId val="2117144400"/>
      </c:barChart>
      <c:catAx>
        <c:axId val="2117144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400"/>
        <c:crosses val="autoZero"/>
        <c:auto val="1"/>
        <c:lblAlgn val="ctr"/>
        <c:lblOffset val="100"/>
        <c:noMultiLvlLbl val="0"/>
      </c:catAx>
      <c:valAx>
        <c:axId val="21171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4D0E44-42FB-47F5-BCE7-78DCD914C1C8}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D3FD93-F445-4354-8685-C1C1BC4AB3C6}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F6E218-0C37-49C3-8490-473CF21BDF2E}">
  <sheetPr/>
  <sheetViews>
    <sheetView tabSelected="1" zoomScale="11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A0CD41-F6BC-4849-9235-9D25CC192112}">
  <sheetPr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7C8F3-9F3D-822E-ED26-BD51B0894DC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90402F-BFB2-D991-8A4B-E286D656464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FDE272-7F1E-FB5C-2097-A7B13413BA1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A573A-9732-BD7A-8CD9-21A1486FD77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571501</xdr:colOff>
      <xdr:row>0</xdr:row>
      <xdr:rowOff>114298</xdr:rowOff>
    </xdr:from>
    <xdr:to>
      <xdr:col>19</xdr:col>
      <xdr:colOff>466725</xdr:colOff>
      <xdr:row>31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ED053D-0799-3C0E-3A6E-51A585312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16.507837268517" backgroundQuery="1" createdVersion="8" refreshedVersion="8" minRefreshableVersion="3" recordCount="0" supportSubquery="1" supportAdvancedDrill="1" xr:uid="{E4BDBF98-5744-4B26-8916-935C3AE37C2D}">
  <cacheSource type="external" connectionId="14"/>
  <cacheFields count="2">
    <cacheField name="[qry_Game_Number].[qry_Players.Player_Name].[qry_Players.Player_Name]" caption="qry_Players.Player_Name" numFmtId="0" hierarchy="15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]" caption="Count of Player_No_Host" numFmtId="0" hierarchy="51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16.507838541664" backgroundQuery="1" createdVersion="8" refreshedVersion="8" minRefreshableVersion="3" recordCount="0" supportSubquery="1" supportAdvancedDrill="1" xr:uid="{9244E601-3B5E-41EC-9E95-CFA8F1ACEC12}">
  <cacheSource type="external" connectionId="14"/>
  <cacheFields count="3">
    <cacheField name="[List of Cashouts per player for 2026].[Player_Name].[Player_Name]" caption="Player_Name" numFmtId="0" hierarchy="1" level="1">
      <sharedItems count="10">
        <s v="Barry Hunter"/>
        <s v="Brendan Stevenson"/>
        <s v="Ciaran Lynch"/>
        <s v="Kevin Lee"/>
        <s v="Mark Hunter"/>
        <s v="Martin Hunter"/>
        <s v="Morgan Mooney"/>
        <s v="Ryan Mc Elchar"/>
        <s v="Seamus Diver"/>
        <s v="Steven Black"/>
      </sharedItems>
    </cacheField>
    <cacheField name="[List of Cashouts per player for 2026].[Date].[Date]" caption="Date" numFmtId="0" hierarchy="2" level="1">
      <sharedItems containsSemiMixedTypes="0" containsNonDate="0" containsDate="1" containsString="0" minDate="2026-01-02T00:00:00" maxDate="2026-04-04T00:00:00" count="5">
        <d v="2026-01-02T00:00:00"/>
        <d v="2026-01-23T00:00:00"/>
        <d v="2026-02-13T00:00:00"/>
        <d v="2026-03-06T00:00:00"/>
        <d v="2026-04-03T00:00:00"/>
      </sharedItems>
    </cacheField>
    <cacheField name="[Measures].[Sum of League Points 2]" caption="Sum of League Points 2" numFmtId="0" hierarchy="54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2" memberValueDatatype="130" unbalanced="0">
      <fieldsUsage count="2">
        <fieldUsage x="-1"/>
        <fieldUsage x="0"/>
      </fieldsUsage>
    </cacheHierarchy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2" memberValueDatatype="7" unbalanced="0">
      <fieldsUsage count="2">
        <fieldUsage x="-1"/>
        <fieldUsage x="1"/>
      </fieldsUsage>
    </cacheHierarchy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16.507846990738" backgroundQuery="1" createdVersion="8" refreshedVersion="8" minRefreshableVersion="3" recordCount="0" supportSubquery="1" supportAdvancedDrill="1" xr:uid="{F17423D0-4FA3-4356-8BFA-E77ECF6FBB26}">
  <cacheSource type="external" connectionId="14"/>
  <cacheFields count="2">
    <cacheField name="[qry_Player_Game_Stats_2026].[qry_Players.Player_Name].[qry_Players.Player_Name]" caption="qry_Players.Player_Name" numFmtId="0" hierarchy="25" level="1">
      <sharedItems count="10">
        <s v="Barry Hunter"/>
        <s v="Brendan Stevenson"/>
        <s v="Ciaran Lynch"/>
        <s v="Kevin Lee"/>
        <s v="Mark Hunter"/>
        <s v="Martin Hunter"/>
        <s v="Morgan Mooney"/>
        <s v="Ryan Mc Elchar"/>
        <s v="Seamus Diver"/>
        <s v="Steven Black"/>
      </sharedItems>
    </cacheField>
    <cacheField name="[Measures].[Sum of League Points]" caption="Sum of League Points" numFmtId="0" hierarchy="49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16.507848726855" backgroundQuery="1" createdVersion="8" refreshedVersion="8" minRefreshableVersion="3" recordCount="0" supportSubquery="1" supportAdvancedDrill="1" xr:uid="{6509EC4A-8CCE-4F75-BB47-B11EA45ABF09}">
  <cacheSource type="external" connectionId="14"/>
  <cacheFields count="2">
    <cacheField name="[qry_Player_Game_Stats_2026].[qry_Players.Player_Name].[qry_Players.Player_Name]" caption="qry_Players.Player_Name" numFmtId="0" hierarchy="25" level="1">
      <sharedItems count="10">
        <s v="Barry Hunter"/>
        <s v="Brendan Stevenson"/>
        <s v="Ciaran Lynch"/>
        <s v="Kevin Lee"/>
        <s v="Mark Hunter"/>
        <s v="Martin Hunter"/>
        <s v="Morgan Mooney"/>
        <s v="Ryan Mc Elchar"/>
        <s v="Seamus Diver"/>
        <s v="Steven Black"/>
      </sharedItems>
    </cacheField>
    <cacheField name="[Measures].[Sum of ROI]" caption="Sum of ROI" numFmtId="0" hierarchy="52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116.507853124996" createdVersion="8" refreshedVersion="8" minRefreshableVersion="3" recordCount="87" xr:uid="{989E538B-737E-43FE-943A-CE1291895959}">
  <cacheSource type="worksheet">
    <worksheetSource name="qry_Player_Game_Stats"/>
  </cacheSource>
  <cacheFields count="7">
    <cacheField name="Game_ID" numFmtId="0">
      <sharedItems containsSemiMixedTypes="0" containsString="0" containsNumber="1" containsInteger="1" minValue="1" maxValue="12"/>
    </cacheField>
    <cacheField name="Player_No" numFmtId="0">
      <sharedItems containsSemiMixedTypes="0" containsString="0" containsNumber="1" containsInteger="1" minValue="1" maxValue="12"/>
    </cacheField>
    <cacheField name="BuyIn" numFmtId="164">
      <sharedItems containsSemiMixedTypes="0" containsString="0" containsNumber="1" containsInteger="1" minValue="30" maxValue="30"/>
    </cacheField>
    <cacheField name="Rebuy" numFmtId="164">
      <sharedItems containsSemiMixedTypes="0" containsString="0" containsNumber="1" containsInteger="1" minValue="0" maxValue="40"/>
    </cacheField>
    <cacheField name="CashOut" numFmtId="164">
      <sharedItems containsSemiMixedTypes="0" containsString="0" containsNumber="1" containsInteger="1" minValue="0" maxValue="140"/>
    </cacheField>
    <cacheField name="ROI" numFmtId="164">
      <sharedItems containsSemiMixedTypes="0" containsString="0" containsNumber="1" containsInteger="1" minValue="-70" maxValue="90"/>
    </cacheField>
    <cacheField name="qry_Players.Player_Name" numFmtId="0">
      <sharedItems count="10">
        <s v="Martin Hunter"/>
        <s v="Ciaran Lynch"/>
        <s v="Barry Hunter"/>
        <s v="Seamus Diver"/>
        <s v="Morgan Mooney"/>
        <s v="Kevin Lee"/>
        <s v="Steven Black"/>
        <s v="Mark Hunter"/>
        <s v="Brendan Stevenson"/>
        <s v="Ryan Mc Elcha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116.507853819443" createdVersion="8" refreshedVersion="8" minRefreshableVersion="3" recordCount="10" xr:uid="{5050F4B7-B0A3-40B3-9BD5-FF78200A88C3}">
  <cacheSource type="worksheet">
    <worksheetSource name="Top_10_per_player_for_2025_and_2026"/>
  </cacheSource>
  <cacheFields count="5">
    <cacheField name="Player_no" numFmtId="0">
      <sharedItems containsSemiMixedTypes="0" containsString="0" containsNumber="1" containsInteger="1" minValue="1" maxValue="12"/>
    </cacheField>
    <cacheField name="Player_Name" numFmtId="0">
      <sharedItems count="10">
        <s v="Kevin Lee"/>
        <s v="Ciaran Lynch"/>
        <s v="Brendan Stevenson"/>
        <s v="Martin Hunter"/>
        <s v="Morgan Mooney"/>
        <s v="Steven Black"/>
        <s v="Barry Hunter"/>
        <s v="Mark Hunter"/>
        <s v="Seamus Diver"/>
        <s v="Ryan Mc Elchar"/>
      </sharedItems>
    </cacheField>
    <cacheField name="Total_Cash_Out" numFmtId="164">
      <sharedItems containsSemiMixedTypes="0" containsString="0" containsNumber="1" containsInteger="1" minValue="25" maxValue="795"/>
    </cacheField>
    <cacheField name="Games_Played" numFmtId="0">
      <sharedItems containsSemiMixedTypes="0" containsString="0" containsNumber="1" containsInteger="1" minValue="3" maxValue="12"/>
    </cacheField>
    <cacheField name="Average Cash Per Game 2025 - 2026" numFmtId="164">
      <sharedItems containsSemiMixedTypes="0" containsString="0" containsNumber="1" minValue="8.3332999999999995" maxValue="66.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116.527644791669" createdVersion="8" refreshedVersion="8" minRefreshableVersion="3" recordCount="12" xr:uid="{C616AC3C-76BF-4AAF-A4E2-A1F26BA15EA2}">
  <cacheSource type="worksheet">
    <worksheetSource name="League_Paymenst_2026"/>
  </cacheSource>
  <cacheFields count="17">
    <cacheField name="Player_No" numFmtId="0">
      <sharedItems containsSemiMixedTypes="0" containsString="0" containsNumber="1" containsInteger="1" minValue="1" maxValue="12"/>
    </cacheField>
    <cacheField name="FullName" numFmtId="0">
      <sharedItems count="12">
        <s v="Martin Hunter"/>
        <s v="Ciaran Lynch"/>
        <s v="Barry Hunter"/>
        <s v="Seamus Diver"/>
        <s v="Morgan Mooney"/>
        <s v="Kevin Lee"/>
        <s v="Brendan Stevenson"/>
        <s v="Steven Black"/>
        <s v="Brian Stevenson"/>
        <s v="Ronan Curran"/>
        <s v="Mark Hunter"/>
        <s v="Ryan Mc Elchar"/>
      </sharedItems>
    </cacheField>
    <cacheField name="23/01/2026" numFmtId="164">
      <sharedItems containsString="0" containsBlank="1" containsNumber="1" containsInteger="1" minValue="10" maxValue="10"/>
    </cacheField>
    <cacheField name="13/02/2026" numFmtId="164">
      <sharedItems containsString="0" containsBlank="1" containsNumber="1" containsInteger="1" minValue="10" maxValue="10"/>
    </cacheField>
    <cacheField name="06/03/2026" numFmtId="164">
      <sharedItems containsString="0" containsBlank="1" containsNumber="1" containsInteger="1" minValue="10" maxValue="10"/>
    </cacheField>
    <cacheField name="03/04/2026" numFmtId="164">
      <sharedItems containsString="0" containsBlank="1" containsNumber="1" containsInteger="1" minValue="10" maxValue="10"/>
    </cacheField>
    <cacheField name="Week5" numFmtId="164">
      <sharedItems containsNonDate="0" containsString="0" containsBlank="1"/>
    </cacheField>
    <cacheField name="Week6" numFmtId="164">
      <sharedItems containsNonDate="0" containsString="0" containsBlank="1"/>
    </cacheField>
    <cacheField name="Week7" numFmtId="164">
      <sharedItems containsNonDate="0" containsString="0" containsBlank="1"/>
    </cacheField>
    <cacheField name="Week8" numFmtId="164">
      <sharedItems containsNonDate="0" containsString="0" containsBlank="1"/>
    </cacheField>
    <cacheField name="Week9" numFmtId="164">
      <sharedItems containsNonDate="0" containsString="0" containsBlank="1"/>
    </cacheField>
    <cacheField name="Week10" numFmtId="164">
      <sharedItems containsNonDate="0" containsString="0" containsBlank="1"/>
    </cacheField>
    <cacheField name="Week11" numFmtId="164">
      <sharedItems containsNonDate="0" containsString="0" containsBlank="1"/>
    </cacheField>
    <cacheField name="Week12" numFmtId="164">
      <sharedItems containsNonDate="0" containsString="0" containsBlank="1"/>
    </cacheField>
    <cacheField name="Week13" numFmtId="164">
      <sharedItems containsNonDate="0" containsString="0" containsBlank="1"/>
    </cacheField>
    <cacheField name="Week14" numFmtId="164">
      <sharedItems containsNonDate="0" containsString="0" containsBlank="1"/>
    </cacheField>
    <cacheField name="Total" numFmtId="164">
      <sharedItems containsSemiMixedTypes="0" containsString="0" containsNumber="1" containsInteger="1" minValue="0" maxValue="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16.507832986113" backgroundQuery="1" createdVersion="8" refreshedVersion="8" minRefreshableVersion="3" recordCount="0" supportSubquery="1" supportAdvancedDrill="1" xr:uid="{3A8CCDDE-B061-4CDC-88D8-29F8A9478A8E}">
  <cacheSource type="external" connectionId="14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qry_Game_Number].[qry_Players.Player_Name].[qry_Players.Player_Name]" caption="qry_Players.Player_Name" numFmtId="0" hierarchy="15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]" caption="Count of Player_No_Host" numFmtId="0" hierarchy="51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100344546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1"/>
    <n v="1"/>
    <n v="30"/>
    <n v="20"/>
    <n v="50"/>
    <n v="0"/>
    <x v="0"/>
  </r>
  <r>
    <n v="2"/>
    <n v="1"/>
    <n v="30"/>
    <n v="0"/>
    <n v="25"/>
    <n v="-5"/>
    <x v="0"/>
  </r>
  <r>
    <n v="1"/>
    <n v="2"/>
    <n v="30"/>
    <n v="0"/>
    <n v="105"/>
    <n v="75"/>
    <x v="1"/>
  </r>
  <r>
    <n v="2"/>
    <n v="2"/>
    <n v="30"/>
    <n v="0"/>
    <n v="55"/>
    <n v="25"/>
    <x v="1"/>
  </r>
  <r>
    <n v="1"/>
    <n v="3"/>
    <n v="30"/>
    <n v="20"/>
    <n v="40"/>
    <n v="-10"/>
    <x v="2"/>
  </r>
  <r>
    <n v="2"/>
    <n v="3"/>
    <n v="30"/>
    <n v="20"/>
    <n v="30"/>
    <n v="-20"/>
    <x v="2"/>
  </r>
  <r>
    <n v="1"/>
    <n v="4"/>
    <n v="30"/>
    <n v="0"/>
    <n v="20"/>
    <n v="-10"/>
    <x v="3"/>
  </r>
  <r>
    <n v="2"/>
    <n v="4"/>
    <n v="30"/>
    <n v="20"/>
    <n v="25"/>
    <n v="-25"/>
    <x v="3"/>
  </r>
  <r>
    <n v="1"/>
    <n v="5"/>
    <n v="30"/>
    <n v="20"/>
    <n v="25"/>
    <n v="-25"/>
    <x v="4"/>
  </r>
  <r>
    <n v="2"/>
    <n v="5"/>
    <n v="30"/>
    <n v="20"/>
    <n v="0"/>
    <n v="-50"/>
    <x v="4"/>
  </r>
  <r>
    <n v="1"/>
    <n v="6"/>
    <n v="30"/>
    <n v="0"/>
    <n v="0"/>
    <n v="-30"/>
    <x v="5"/>
  </r>
  <r>
    <n v="2"/>
    <n v="6"/>
    <n v="30"/>
    <n v="20"/>
    <n v="130"/>
    <n v="80"/>
    <x v="5"/>
  </r>
  <r>
    <n v="2"/>
    <n v="8"/>
    <n v="30"/>
    <n v="0"/>
    <n v="60"/>
    <n v="30"/>
    <x v="6"/>
  </r>
  <r>
    <n v="2"/>
    <n v="11"/>
    <n v="30"/>
    <n v="0"/>
    <n v="0"/>
    <n v="-30"/>
    <x v="7"/>
  </r>
  <r>
    <n v="3"/>
    <n v="1"/>
    <n v="30"/>
    <n v="0"/>
    <n v="110"/>
    <n v="80"/>
    <x v="0"/>
  </r>
  <r>
    <n v="3"/>
    <n v="3"/>
    <n v="30"/>
    <n v="0"/>
    <n v="65"/>
    <n v="35"/>
    <x v="2"/>
  </r>
  <r>
    <n v="3"/>
    <n v="4"/>
    <n v="30"/>
    <n v="20"/>
    <n v="0"/>
    <n v="-50"/>
    <x v="3"/>
  </r>
  <r>
    <n v="3"/>
    <n v="5"/>
    <n v="30"/>
    <n v="20"/>
    <n v="0"/>
    <n v="-50"/>
    <x v="4"/>
  </r>
  <r>
    <n v="3"/>
    <n v="6"/>
    <n v="30"/>
    <n v="0"/>
    <n v="0"/>
    <n v="-30"/>
    <x v="5"/>
  </r>
  <r>
    <n v="3"/>
    <n v="7"/>
    <n v="30"/>
    <n v="0"/>
    <n v="75"/>
    <n v="45"/>
    <x v="8"/>
  </r>
  <r>
    <n v="3"/>
    <n v="8"/>
    <n v="30"/>
    <n v="30"/>
    <n v="0"/>
    <n v="-60"/>
    <x v="6"/>
  </r>
  <r>
    <n v="3"/>
    <n v="11"/>
    <n v="30"/>
    <n v="0"/>
    <n v="0"/>
    <n v="-30"/>
    <x v="7"/>
  </r>
  <r>
    <n v="4"/>
    <n v="1"/>
    <n v="30"/>
    <n v="0"/>
    <n v="40"/>
    <n v="10"/>
    <x v="0"/>
  </r>
  <r>
    <n v="4"/>
    <n v="3"/>
    <n v="30"/>
    <n v="0"/>
    <n v="45"/>
    <n v="15"/>
    <x v="2"/>
  </r>
  <r>
    <n v="4"/>
    <n v="5"/>
    <n v="30"/>
    <n v="40"/>
    <n v="15"/>
    <n v="-55"/>
    <x v="4"/>
  </r>
  <r>
    <n v="4"/>
    <n v="6"/>
    <n v="30"/>
    <n v="0"/>
    <n v="100"/>
    <n v="70"/>
    <x v="5"/>
  </r>
  <r>
    <n v="4"/>
    <n v="7"/>
    <n v="30"/>
    <n v="20"/>
    <n v="65"/>
    <n v="15"/>
    <x v="8"/>
  </r>
  <r>
    <n v="4"/>
    <n v="8"/>
    <n v="30"/>
    <n v="40"/>
    <n v="0"/>
    <n v="-70"/>
    <x v="6"/>
  </r>
  <r>
    <n v="4"/>
    <n v="11"/>
    <n v="30"/>
    <n v="0"/>
    <n v="45"/>
    <n v="15"/>
    <x v="7"/>
  </r>
  <r>
    <n v="5"/>
    <n v="1"/>
    <n v="30"/>
    <n v="0"/>
    <n v="60"/>
    <n v="30"/>
    <x v="0"/>
  </r>
  <r>
    <n v="5"/>
    <n v="3"/>
    <n v="30"/>
    <n v="0"/>
    <n v="0"/>
    <n v="-30"/>
    <x v="2"/>
  </r>
  <r>
    <n v="5"/>
    <n v="5"/>
    <n v="30"/>
    <n v="20"/>
    <n v="120"/>
    <n v="70"/>
    <x v="4"/>
  </r>
  <r>
    <n v="5"/>
    <n v="6"/>
    <n v="30"/>
    <n v="40"/>
    <n v="0"/>
    <n v="-70"/>
    <x v="5"/>
  </r>
  <r>
    <n v="5"/>
    <n v="7"/>
    <n v="30"/>
    <n v="20"/>
    <n v="30"/>
    <n v="-20"/>
    <x v="8"/>
  </r>
  <r>
    <n v="5"/>
    <n v="8"/>
    <n v="30"/>
    <n v="0"/>
    <n v="30"/>
    <n v="0"/>
    <x v="6"/>
  </r>
  <r>
    <n v="5"/>
    <n v="11"/>
    <n v="30"/>
    <n v="0"/>
    <n v="50"/>
    <n v="20"/>
    <x v="7"/>
  </r>
  <r>
    <n v="6"/>
    <n v="1"/>
    <n v="30"/>
    <n v="0"/>
    <n v="25"/>
    <n v="-5"/>
    <x v="0"/>
  </r>
  <r>
    <n v="6"/>
    <n v="3"/>
    <n v="30"/>
    <n v="40"/>
    <n v="35"/>
    <n v="-35"/>
    <x v="2"/>
  </r>
  <r>
    <n v="6"/>
    <n v="4"/>
    <n v="30"/>
    <n v="0"/>
    <n v="105"/>
    <n v="75"/>
    <x v="3"/>
  </r>
  <r>
    <n v="6"/>
    <n v="5"/>
    <n v="30"/>
    <n v="20"/>
    <n v="30"/>
    <n v="-20"/>
    <x v="4"/>
  </r>
  <r>
    <n v="6"/>
    <n v="6"/>
    <n v="30"/>
    <n v="0"/>
    <n v="85"/>
    <n v="55"/>
    <x v="5"/>
  </r>
  <r>
    <n v="6"/>
    <n v="7"/>
    <n v="30"/>
    <n v="20"/>
    <n v="0"/>
    <n v="-50"/>
    <x v="8"/>
  </r>
  <r>
    <n v="6"/>
    <n v="11"/>
    <n v="30"/>
    <n v="0"/>
    <n v="10"/>
    <n v="-20"/>
    <x v="7"/>
  </r>
  <r>
    <n v="7"/>
    <n v="1"/>
    <n v="30"/>
    <n v="0"/>
    <n v="45"/>
    <n v="15"/>
    <x v="0"/>
  </r>
  <r>
    <n v="7"/>
    <n v="3"/>
    <n v="30"/>
    <n v="0"/>
    <n v="0"/>
    <n v="-30"/>
    <x v="2"/>
  </r>
  <r>
    <n v="7"/>
    <n v="5"/>
    <n v="30"/>
    <n v="0"/>
    <n v="40"/>
    <n v="10"/>
    <x v="4"/>
  </r>
  <r>
    <n v="7"/>
    <n v="6"/>
    <n v="30"/>
    <n v="40"/>
    <n v="70"/>
    <n v="0"/>
    <x v="5"/>
  </r>
  <r>
    <n v="7"/>
    <n v="7"/>
    <n v="30"/>
    <n v="0"/>
    <n v="65"/>
    <n v="35"/>
    <x v="8"/>
  </r>
  <r>
    <n v="7"/>
    <n v="12"/>
    <n v="30"/>
    <n v="0"/>
    <n v="0"/>
    <n v="-30"/>
    <x v="9"/>
  </r>
  <r>
    <n v="8"/>
    <n v="1"/>
    <n v="30"/>
    <n v="20"/>
    <n v="0"/>
    <n v="-50"/>
    <x v="0"/>
  </r>
  <r>
    <n v="8"/>
    <n v="2"/>
    <n v="30"/>
    <n v="20"/>
    <n v="45"/>
    <n v="-5"/>
    <x v="1"/>
  </r>
  <r>
    <n v="8"/>
    <n v="3"/>
    <n v="30"/>
    <n v="20"/>
    <n v="25"/>
    <n v="-25"/>
    <x v="2"/>
  </r>
  <r>
    <n v="8"/>
    <n v="5"/>
    <n v="30"/>
    <n v="20"/>
    <n v="115"/>
    <n v="65"/>
    <x v="4"/>
  </r>
  <r>
    <n v="8"/>
    <n v="6"/>
    <n v="30"/>
    <n v="20"/>
    <n v="140"/>
    <n v="90"/>
    <x v="5"/>
  </r>
  <r>
    <n v="8"/>
    <n v="7"/>
    <n v="30"/>
    <n v="20"/>
    <n v="50"/>
    <n v="0"/>
    <x v="8"/>
  </r>
  <r>
    <n v="8"/>
    <n v="11"/>
    <n v="30"/>
    <n v="20"/>
    <n v="0"/>
    <n v="-50"/>
    <x v="7"/>
  </r>
  <r>
    <n v="8"/>
    <n v="12"/>
    <n v="30"/>
    <n v="20"/>
    <n v="25"/>
    <n v="-25"/>
    <x v="9"/>
  </r>
  <r>
    <n v="9"/>
    <n v="1"/>
    <n v="30"/>
    <n v="20"/>
    <n v="45"/>
    <n v="-5"/>
    <x v="0"/>
  </r>
  <r>
    <n v="9"/>
    <n v="2"/>
    <n v="30"/>
    <n v="20"/>
    <n v="65"/>
    <n v="15"/>
    <x v="1"/>
  </r>
  <r>
    <n v="9"/>
    <n v="3"/>
    <n v="30"/>
    <n v="20"/>
    <n v="25"/>
    <n v="-25"/>
    <x v="2"/>
  </r>
  <r>
    <n v="9"/>
    <n v="5"/>
    <n v="30"/>
    <n v="20"/>
    <n v="50"/>
    <n v="0"/>
    <x v="4"/>
  </r>
  <r>
    <n v="9"/>
    <n v="6"/>
    <n v="30"/>
    <n v="20"/>
    <n v="0"/>
    <n v="-50"/>
    <x v="5"/>
  </r>
  <r>
    <n v="9"/>
    <n v="8"/>
    <n v="30"/>
    <n v="20"/>
    <n v="105"/>
    <n v="55"/>
    <x v="6"/>
  </r>
  <r>
    <n v="9"/>
    <n v="11"/>
    <n v="30"/>
    <n v="20"/>
    <n v="60"/>
    <n v="10"/>
    <x v="7"/>
  </r>
  <r>
    <n v="10"/>
    <n v="1"/>
    <n v="30"/>
    <n v="20"/>
    <n v="10"/>
    <n v="-40"/>
    <x v="0"/>
  </r>
  <r>
    <n v="10"/>
    <n v="2"/>
    <n v="30"/>
    <n v="20"/>
    <n v="25"/>
    <n v="-25"/>
    <x v="1"/>
  </r>
  <r>
    <n v="10"/>
    <n v="3"/>
    <n v="30"/>
    <n v="20"/>
    <n v="80"/>
    <n v="30"/>
    <x v="2"/>
  </r>
  <r>
    <n v="10"/>
    <n v="5"/>
    <n v="30"/>
    <n v="20"/>
    <n v="35"/>
    <n v="-15"/>
    <x v="4"/>
  </r>
  <r>
    <n v="10"/>
    <n v="6"/>
    <n v="30"/>
    <n v="20"/>
    <n v="85"/>
    <n v="35"/>
    <x v="5"/>
  </r>
  <r>
    <n v="10"/>
    <n v="8"/>
    <n v="30"/>
    <n v="20"/>
    <n v="65"/>
    <n v="15"/>
    <x v="6"/>
  </r>
  <r>
    <n v="10"/>
    <n v="11"/>
    <n v="30"/>
    <n v="20"/>
    <n v="50"/>
    <n v="0"/>
    <x v="7"/>
  </r>
  <r>
    <n v="11"/>
    <n v="1"/>
    <n v="30"/>
    <n v="20"/>
    <n v="55"/>
    <n v="5"/>
    <x v="0"/>
  </r>
  <r>
    <n v="11"/>
    <n v="2"/>
    <n v="30"/>
    <n v="20"/>
    <n v="70"/>
    <n v="20"/>
    <x v="1"/>
  </r>
  <r>
    <n v="11"/>
    <n v="3"/>
    <n v="30"/>
    <n v="20"/>
    <n v="40"/>
    <n v="-10"/>
    <x v="2"/>
  </r>
  <r>
    <n v="11"/>
    <n v="5"/>
    <n v="30"/>
    <n v="20"/>
    <n v="30"/>
    <n v="-20"/>
    <x v="4"/>
  </r>
  <r>
    <n v="11"/>
    <n v="6"/>
    <n v="30"/>
    <n v="20"/>
    <n v="60"/>
    <n v="10"/>
    <x v="5"/>
  </r>
  <r>
    <n v="11"/>
    <n v="7"/>
    <n v="30"/>
    <n v="20"/>
    <n v="55"/>
    <n v="5"/>
    <x v="8"/>
  </r>
  <r>
    <n v="11"/>
    <n v="11"/>
    <n v="30"/>
    <n v="20"/>
    <n v="90"/>
    <n v="40"/>
    <x v="7"/>
  </r>
  <r>
    <n v="11"/>
    <n v="12"/>
    <n v="30"/>
    <n v="20"/>
    <n v="0"/>
    <n v="-50"/>
    <x v="9"/>
  </r>
  <r>
    <n v="12"/>
    <n v="1"/>
    <n v="30"/>
    <n v="20"/>
    <n v="65"/>
    <n v="15"/>
    <x v="0"/>
  </r>
  <r>
    <n v="12"/>
    <n v="2"/>
    <n v="30"/>
    <n v="20"/>
    <n v="70"/>
    <n v="20"/>
    <x v="1"/>
  </r>
  <r>
    <n v="12"/>
    <n v="3"/>
    <n v="30"/>
    <n v="20"/>
    <n v="50"/>
    <n v="0"/>
    <x v="2"/>
  </r>
  <r>
    <n v="12"/>
    <n v="4"/>
    <n v="30"/>
    <n v="20"/>
    <n v="0"/>
    <n v="-50"/>
    <x v="3"/>
  </r>
  <r>
    <n v="12"/>
    <n v="5"/>
    <n v="30"/>
    <n v="20"/>
    <n v="45"/>
    <n v="-5"/>
    <x v="4"/>
  </r>
  <r>
    <n v="12"/>
    <n v="6"/>
    <n v="30"/>
    <n v="20"/>
    <n v="125"/>
    <n v="75"/>
    <x v="5"/>
  </r>
  <r>
    <n v="12"/>
    <n v="7"/>
    <n v="30"/>
    <n v="20"/>
    <n v="50"/>
    <n v="0"/>
    <x v="8"/>
  </r>
  <r>
    <n v="12"/>
    <n v="8"/>
    <n v="30"/>
    <n v="20"/>
    <n v="0"/>
    <n v="-50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6"/>
    <x v="0"/>
    <n v="795"/>
    <n v="12"/>
    <n v="66.25"/>
  </r>
  <r>
    <n v="2"/>
    <x v="1"/>
    <n v="435"/>
    <n v="7"/>
    <n v="62.142899999999997"/>
  </r>
  <r>
    <n v="7"/>
    <x v="2"/>
    <n v="390"/>
    <n v="8"/>
    <n v="48.75"/>
  </r>
  <r>
    <n v="1"/>
    <x v="3"/>
    <n v="520"/>
    <n v="12"/>
    <n v="43.333300000000001"/>
  </r>
  <r>
    <n v="5"/>
    <x v="4"/>
    <n v="505"/>
    <n v="12"/>
    <n v="42.083300000000001"/>
  </r>
  <r>
    <n v="8"/>
    <x v="5"/>
    <n v="260"/>
    <n v="7"/>
    <n v="37.142899999999997"/>
  </r>
  <r>
    <n v="3"/>
    <x v="6"/>
    <n v="435"/>
    <n v="12"/>
    <n v="36.25"/>
  </r>
  <r>
    <n v="11"/>
    <x v="7"/>
    <n v="305"/>
    <n v="9"/>
    <n v="33.8889"/>
  </r>
  <r>
    <n v="4"/>
    <x v="8"/>
    <n v="150"/>
    <n v="5"/>
    <n v="30"/>
  </r>
  <r>
    <n v="12"/>
    <x v="9"/>
    <n v="25"/>
    <n v="3"/>
    <n v="8.333299999999999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n v="1"/>
    <x v="0"/>
    <n v="10"/>
    <n v="10"/>
    <n v="10"/>
    <n v="10"/>
    <m/>
    <m/>
    <m/>
    <m/>
    <m/>
    <m/>
    <m/>
    <m/>
    <m/>
    <m/>
    <n v="40"/>
  </r>
  <r>
    <n v="2"/>
    <x v="1"/>
    <n v="10"/>
    <n v="10"/>
    <n v="10"/>
    <n v="10"/>
    <m/>
    <m/>
    <m/>
    <m/>
    <m/>
    <m/>
    <m/>
    <m/>
    <m/>
    <m/>
    <n v="40"/>
  </r>
  <r>
    <n v="3"/>
    <x v="2"/>
    <n v="10"/>
    <n v="10"/>
    <n v="10"/>
    <m/>
    <m/>
    <m/>
    <m/>
    <m/>
    <m/>
    <m/>
    <m/>
    <m/>
    <m/>
    <m/>
    <n v="30"/>
  </r>
  <r>
    <n v="4"/>
    <x v="3"/>
    <m/>
    <m/>
    <m/>
    <m/>
    <m/>
    <m/>
    <m/>
    <m/>
    <m/>
    <m/>
    <m/>
    <m/>
    <m/>
    <m/>
    <n v="0"/>
  </r>
  <r>
    <n v="5"/>
    <x v="4"/>
    <n v="10"/>
    <n v="10"/>
    <n v="10"/>
    <n v="10"/>
    <m/>
    <m/>
    <m/>
    <m/>
    <m/>
    <m/>
    <m/>
    <m/>
    <m/>
    <m/>
    <n v="40"/>
  </r>
  <r>
    <n v="6"/>
    <x v="5"/>
    <n v="10"/>
    <n v="10"/>
    <n v="10"/>
    <n v="10"/>
    <m/>
    <m/>
    <m/>
    <m/>
    <m/>
    <m/>
    <m/>
    <m/>
    <m/>
    <m/>
    <n v="40"/>
  </r>
  <r>
    <n v="7"/>
    <x v="6"/>
    <m/>
    <m/>
    <n v="10"/>
    <n v="10"/>
    <m/>
    <m/>
    <m/>
    <m/>
    <m/>
    <m/>
    <m/>
    <m/>
    <m/>
    <m/>
    <n v="20"/>
  </r>
  <r>
    <n v="8"/>
    <x v="7"/>
    <n v="10"/>
    <n v="10"/>
    <m/>
    <n v="10"/>
    <m/>
    <m/>
    <m/>
    <m/>
    <m/>
    <m/>
    <m/>
    <m/>
    <m/>
    <m/>
    <n v="30"/>
  </r>
  <r>
    <n v="9"/>
    <x v="8"/>
    <m/>
    <m/>
    <m/>
    <m/>
    <m/>
    <m/>
    <m/>
    <m/>
    <m/>
    <m/>
    <m/>
    <m/>
    <m/>
    <m/>
    <n v="0"/>
  </r>
  <r>
    <n v="10"/>
    <x v="9"/>
    <m/>
    <m/>
    <m/>
    <m/>
    <m/>
    <m/>
    <m/>
    <m/>
    <m/>
    <m/>
    <m/>
    <m/>
    <m/>
    <m/>
    <n v="0"/>
  </r>
  <r>
    <n v="11"/>
    <x v="10"/>
    <n v="10"/>
    <n v="10"/>
    <n v="10"/>
    <m/>
    <m/>
    <m/>
    <m/>
    <m/>
    <m/>
    <m/>
    <m/>
    <m/>
    <m/>
    <m/>
    <n v="30"/>
  </r>
  <r>
    <n v="12"/>
    <x v="11"/>
    <m/>
    <m/>
    <n v="10"/>
    <m/>
    <m/>
    <m/>
    <m/>
    <m/>
    <m/>
    <m/>
    <m/>
    <m/>
    <m/>
    <m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EA24D9-BABE-474F-BA1A-89646E6BD6DA}" name="PivotChar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:B8" firstHeaderRow="1" firstDataRow="1" firstDataCol="1"/>
  <pivotFields count="2">
    <pivotField axis="axisRow" allDrilled="1" subtotalTop="0" showAll="0" sortType="descending" dataSourceSort="1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4"/>
    </i>
    <i>
      <x v="3"/>
    </i>
    <i>
      <x v="1"/>
    </i>
    <i>
      <x v="2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ount of Player_No_Host"/>
    <pivotHierarchy dragToData="1"/>
    <pivotHierarchy dragToData="1"/>
    <pivotHierarchy dragToData="1"/>
  </pivotHierarchies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1003445467">
        <x15:pivotRow count="1">
          <x15:c>
            <x15:v>3</x15:v>
          </x15:c>
        </x15:pivotRow>
        <x15:pivotRow count="1">
          <x15:c>
            <x15:v>3</x15:v>
          </x15:c>
        </x15:pivotRow>
        <x15:pivotRow count="1">
          <x15:c>
            <x15:v>2</x15:v>
          </x15:c>
        </x15:pivotRow>
        <x15:pivotRow count="1">
          <x15:c>
            <x15:v>2</x15:v>
          </x15:c>
        </x15:pivotRow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12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qry_Game_Numb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DC76EF-6381-4214-A40B-723570751659}" name="PivotTable2" cacheId="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40:B50" firstHeaderRow="1" firstDataRow="1" firstDataCol="1"/>
  <pivotFields count="17">
    <pivotField showAll="0"/>
    <pivotField axis="axisRow" showAll="0" sortType="descending">
      <items count="13">
        <item x="2"/>
        <item x="6"/>
        <item h="1" x="8"/>
        <item x="1"/>
        <item x="5"/>
        <item x="10"/>
        <item x="0"/>
        <item x="4"/>
        <item h="1" x="9"/>
        <item x="11"/>
        <item h="1" x="3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</pivotFields>
  <rowFields count="1">
    <field x="1"/>
  </rowFields>
  <rowItems count="10">
    <i>
      <x v="7"/>
    </i>
    <i>
      <x v="6"/>
    </i>
    <i>
      <x v="3"/>
    </i>
    <i>
      <x v="4"/>
    </i>
    <i>
      <x/>
    </i>
    <i>
      <x v="11"/>
    </i>
    <i>
      <x v="5"/>
    </i>
    <i>
      <x v="1"/>
    </i>
    <i>
      <x v="9"/>
    </i>
    <i t="grand">
      <x/>
    </i>
  </rowItems>
  <colItems count="1">
    <i/>
  </colItems>
  <dataFields count="1">
    <dataField name="Sum of League Payments" fld="16" baseField="0" baseItem="0" numFmtId="164"/>
  </dataFields>
  <formats count="6"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1" type="button" dataOnly="0" labelOnly="1" outline="0" axis="axisRow" fieldPosition="0"/>
    </format>
    <format dxfId="101">
      <pivotArea dataOnly="0" labelOnly="1" fieldPosition="0">
        <references count="1">
          <reference field="1" count="0"/>
        </references>
      </pivotArea>
    </format>
    <format dxfId="100">
      <pivotArea dataOnly="0" labelOnly="1" grandRow="1" outline="0" fieldPosition="0"/>
    </format>
    <format dxfId="99">
      <pivotArea dataOnly="0" labelOnly="1" outline="0" axis="axisValues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121FF7-6036-445E-8498-4C9B980FE952}" name="PivotTable1" cacheId="25" applyNumberFormats="0" applyBorderFormats="0" applyFontFormats="0" applyPatternFormats="0" applyAlignmentFormats="0" applyWidthHeightFormats="1" dataCaption="Values" tag="291156ff-b454-49f9-be10-3bbc0b5eb673" updatedVersion="8" minRefreshableVersion="3" useAutoFormatting="1" itemPrintTitles="1" createdVersion="8" indent="0" outline="1" outlineData="1" multipleFieldFilters="0" chartFormat="8" rowHeaderCaption="Player">
  <location ref="K2:L13" firstHeaderRow="1" firstDataRow="1" firstDataCol="1"/>
  <pivotFields count="2">
    <pivotField axis="axisRow" allDrilled="1" subtotalTop="0" showAll="0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1">
    <i>
      <x v="3"/>
    </i>
    <i>
      <x v="6"/>
    </i>
    <i>
      <x v="2"/>
    </i>
    <i>
      <x/>
    </i>
    <i>
      <x v="4"/>
    </i>
    <i>
      <x v="5"/>
    </i>
    <i>
      <x v="9"/>
    </i>
    <i>
      <x v="1"/>
    </i>
    <i>
      <x v="7"/>
    </i>
    <i>
      <x v="8"/>
    </i>
    <i t="grand">
      <x/>
    </i>
  </rowItems>
  <colItems count="1">
    <i/>
  </colItems>
  <dataFields count="1">
    <dataField name="Sum of League Points" fld="1" baseField="0" baseItem="0" numFmtId="165"/>
  </dataFields>
  <formats count="7">
    <format dxfId="70">
      <pivotArea outline="0" collapsedLevelsAreSubtotals="1" fieldPosition="0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0" type="button" dataOnly="0" labelOnly="1" outline="0" axis="axisRow" fieldPosition="0"/>
    </format>
    <format dxfId="66">
      <pivotArea dataOnly="0" labelOnly="1" fieldPosition="0">
        <references count="1">
          <reference field="0" count="0"/>
        </references>
      </pivotArea>
    </format>
    <format dxfId="65">
      <pivotArea dataOnly="0" labelOnly="1" grandRow="1" outline="0" fieldPosition="0"/>
    </format>
    <format dxfId="64">
      <pivotArea dataOnly="0" labelOnly="1" outline="0" axis="axisValues" fieldPosition="0"/>
    </format>
  </formats>
  <chartFormats count="1"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78A928-0A65-4C39-951A-7B3709FD525A}" name="PivotTable3" cacheId="28" applyNumberFormats="0" applyBorderFormats="0" applyFontFormats="0" applyPatternFormats="0" applyAlignmentFormats="0" applyWidthHeightFormats="1" dataCaption="Values" tag="1ec23470-5531-4d71-9fd4-5a4824864a43" updatedVersion="8" minRefreshableVersion="3" useAutoFormatting="1" itemPrintTitles="1" createdVersion="8" indent="0" outline="1" outlineData="1" multipleFieldFilters="0" rowHeaderCaption="Player">
  <location ref="K28:L39" firstHeaderRow="1" firstDataRow="1" firstDataCol="1"/>
  <pivotFields count="2">
    <pivotField axis="axisRow" allDrilled="1" subtotalTop="0" showAll="0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1">
    <i>
      <x v="3"/>
    </i>
    <i>
      <x v="6"/>
    </i>
    <i>
      <x v="2"/>
    </i>
    <i>
      <x v="9"/>
    </i>
    <i>
      <x v="1"/>
    </i>
    <i>
      <x v="4"/>
    </i>
    <i>
      <x/>
    </i>
    <i>
      <x v="8"/>
    </i>
    <i>
      <x v="5"/>
    </i>
    <i>
      <x v="7"/>
    </i>
    <i t="grand">
      <x/>
    </i>
  </rowItems>
  <colItems count="1">
    <i/>
  </colItems>
  <dataFields count="1">
    <dataField name="Sum of ROI" fld="1" baseField="0" baseItem="0"/>
  </dataFields>
  <formats count="6"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  <format dxfId="71">
      <pivotArea dataOnly="0" labelOnly="1" outline="0" axis="axisValues" fieldPosition="0"/>
    </format>
  </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80D764-0374-4B92-9213-1D6411125741}" name="PivotTable2" cacheId="19" applyNumberFormats="0" applyBorderFormats="0" applyFontFormats="0" applyPatternFormats="0" applyAlignmentFormats="0" applyWidthHeightFormats="1" dataCaption="Values" tag="5b138cea-b3c4-4029-929f-3bd329d74e44" updatedVersion="8" minRefreshableVersion="3" useAutoFormatting="1" itemPrintTitles="1" createdVersion="8" indent="0" outline="1" outlineData="1" multipleFieldFilters="0" rowHeaderCaption="Player">
  <location ref="K18:L25" firstHeaderRow="1" firstDataRow="1" firstDataCol="1"/>
  <pivotFields count="2">
    <pivotField axis="axisRow" allDrilled="1" subtotalTop="0" showAll="0" sortType="de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4"/>
    </i>
    <i>
      <x v="3"/>
    </i>
    <i>
      <x v="1"/>
    </i>
    <i>
      <x v="2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formats count="6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0" type="button" dataOnly="0" labelOnly="1" outline="0" axis="axisRow" fieldPosition="0"/>
    </format>
    <format dxfId="79">
      <pivotArea dataOnly="0" labelOnly="1" fieldPosition="0">
        <references count="1">
          <reference field="0" count="0"/>
        </references>
      </pivotArea>
    </format>
    <format dxfId="78">
      <pivotArea dataOnly="0" labelOnly="1" grandRow="1" outline="0" fieldPosition="0"/>
    </format>
    <format dxfId="77">
      <pivotArea dataOnly="0" labelOnly="1" outline="0" axis="axisValues" fieldPosition="0"/>
    </format>
  </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ount of Player_No_Host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Game_Numb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13E58-2C65-47DC-8FB4-87784D971959}" name="PivotTable6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6:B27" firstHeaderRow="1" firstDataRow="1" firstDataCol="1"/>
  <pivotFields count="5">
    <pivotField showAll="0"/>
    <pivotField axis="axisRow" showAll="0" sortType="descending">
      <items count="11">
        <item x="6"/>
        <item x="2"/>
        <item x="1"/>
        <item x="0"/>
        <item x="7"/>
        <item x="3"/>
        <item x="4"/>
        <item x="9"/>
        <item x="8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showAll="0"/>
    <pivotField dataField="1" numFmtId="164" showAll="0"/>
  </pivotFields>
  <rowFields count="1">
    <field x="1"/>
  </rowFields>
  <rowItems count="11">
    <i>
      <x v="3"/>
    </i>
    <i>
      <x v="2"/>
    </i>
    <i>
      <x v="1"/>
    </i>
    <i>
      <x v="5"/>
    </i>
    <i>
      <x v="6"/>
    </i>
    <i>
      <x v="9"/>
    </i>
    <i>
      <x/>
    </i>
    <i>
      <x v="4"/>
    </i>
    <i>
      <x v="8"/>
    </i>
    <i>
      <x v="7"/>
    </i>
    <i t="grand">
      <x/>
    </i>
  </rowItems>
  <colItems count="1">
    <i/>
  </colItems>
  <dataFields count="1">
    <dataField name="Sum of Average Cash Per Game 2025 - 2026" fld="4" baseField="0" baseItem="0" numFmtId="164"/>
  </dataFields>
  <formats count="6"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1" type="button" dataOnly="0" labelOnly="1" outline="0" axis="axisRow" fieldPosition="0"/>
    </format>
    <format dxfId="60">
      <pivotArea dataOnly="0" labelOnly="1" fieldPosition="0">
        <references count="1">
          <reference field="1" count="0"/>
        </references>
      </pivotArea>
    </format>
    <format dxfId="59">
      <pivotArea dataOnly="0" labelOnly="1" grandRow="1" outline="0" fieldPosition="0"/>
    </format>
    <format dxfId="58">
      <pivotArea dataOnly="0" labelOnly="1" outline="0" axis="axisValues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8067E-F20D-4517-AFA7-9BC4672DAB28}" name="PivotTable1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:V9" firstHeaderRow="1" firstDataRow="2" firstDataCol="1"/>
  <pivotFields count="3">
    <pivotField axis="axisCol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League Points" fld="2" baseField="0" baseItem="0"/>
  </dataFields>
  <formats count="1">
    <format dxfId="108">
      <pivotArea field="1" grandCol="1" collapsedLevelsAreSubtotals="1" axis="axisRow" fieldPosition="0">
        <references count="1">
          <reference field="1" count="0"/>
        </references>
      </pivotArea>
    </format>
  </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_of_Cashouts_per_player_for_2026]"/>
        <x15:activeTabTopLevelEntity name="[List of Cashouts per player for 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C925D7-10E0-4E75-B5D1-7738BCED06C5}" name="PivotTable1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:B12" firstHeaderRow="1" firstDataRow="1" firstDataCol="1"/>
  <pivotFields count="7">
    <pivotField showAll="0"/>
    <pivotField showAll="0"/>
    <pivotField numFmtId="164" showAll="0"/>
    <pivotField numFmtId="164" showAll="0"/>
    <pivotField numFmtId="164" showAll="0"/>
    <pivotField dataField="1" numFmtId="164" showAll="0"/>
    <pivotField axis="axisRow" showAll="0" sortType="descending">
      <items count="11">
        <item x="2"/>
        <item x="8"/>
        <item x="1"/>
        <item x="5"/>
        <item x="7"/>
        <item x="0"/>
        <item x="4"/>
        <item x="9"/>
        <item x="3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11">
    <i>
      <x v="3"/>
    </i>
    <i>
      <x v="2"/>
    </i>
    <i>
      <x v="5"/>
    </i>
    <i>
      <x v="1"/>
    </i>
    <i>
      <x v="4"/>
    </i>
    <i>
      <x v="8"/>
    </i>
    <i>
      <x v="9"/>
    </i>
    <i>
      <x v="6"/>
    </i>
    <i>
      <x/>
    </i>
    <i>
      <x v="7"/>
    </i>
    <i t="grand">
      <x/>
    </i>
  </rowItems>
  <colItems count="1">
    <i/>
  </colItems>
  <dataFields count="1">
    <dataField name="Sum of ROI 2025 - 2026" fld="5" baseField="0" baseItem="0" numFmtId="164"/>
  </dataFields>
  <formats count="6">
    <format dxfId="56">
      <pivotArea type="all" dataOnly="0" outline="0" fieldPosition="0"/>
    </format>
    <format dxfId="55">
      <pivotArea outline="0" collapsedLevelsAreSubtotals="1" fieldPosition="0"/>
    </format>
    <format dxfId="54">
      <pivotArea field="6" type="button" dataOnly="0" labelOnly="1" outline="0" axis="axisRow" fieldPosition="0"/>
    </format>
    <format dxfId="53">
      <pivotArea dataOnly="0" labelOnly="1" fieldPosition="0">
        <references count="1">
          <reference field="6" count="0"/>
        </references>
      </pivotArea>
    </format>
    <format dxfId="52">
      <pivotArea dataOnly="0" labelOnly="1" grandRow="1" outline="0" fieldPosition="0"/>
    </format>
    <format dxfId="5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CA5A7B4C-56ED-4834-A16A-FE65694071A8}" autoFormatId="16" applyNumberFormats="0" applyBorderFormats="0" applyFontFormats="0" applyPatternFormats="0" applyAlignmentFormats="0" applyWidthHeightFormats="0">
  <queryTableRefresh nextId="3">
    <queryTableFields count="2">
      <queryTableField id="1" name="Player_No" tableColumnId="1"/>
      <queryTableField id="2" name="Player_Name" tableColumnId="2"/>
    </queryTableFields>
  </queryTableRefresh>
  <extLst>
    <ext xmlns:x15="http://schemas.microsoft.com/office/spreadsheetml/2010/11/main" uri="{883FBD77-0823-4a55-B5E3-86C4891E6966}">
      <x15:queryTable sourceDataName="Query - qry_Player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433ADB37-BB34-4F18-B0DC-616C55AD419E}" autoFormatId="16" applyNumberFormats="0" applyBorderFormats="0" applyFontFormats="0" applyPatternFormats="0" applyAlignmentFormats="0" applyWidthHeightFormats="0">
  <queryTableRefresh nextId="5">
    <queryTableFields count="4">
      <queryTableField id="1" name="Game_ID" tableColumnId="1"/>
      <queryTableField id="2" name="Game_Date" tableColumnId="2"/>
      <queryTableField id="3" name="Player_No_Host" tableColumnId="3"/>
      <queryTableField id="4" name="qry_Players.Player_Name" tableColumnId="4"/>
    </queryTableFields>
  </queryTableRefresh>
  <extLst>
    <ext xmlns:x15="http://schemas.microsoft.com/office/spreadsheetml/2010/11/main" uri="{883FBD77-0823-4a55-B5E3-86C4891E6966}">
      <x15:queryTable sourceDataName="Query - qry_Game_Number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" xr16:uid="{17DCFF21-7DB1-45D2-A6C3-70AF1269C378}" autoFormatId="16" applyNumberFormats="0" applyBorderFormats="0" applyFontFormats="0" applyPatternFormats="0" applyAlignmentFormats="0" applyWidthHeightFormats="0">
  <queryTableRefresh nextId="10">
    <queryTableFields count="8">
      <queryTableField id="1" name="Game_ID" tableColumnId="1"/>
      <queryTableField id="2" name="Player_No" tableColumnId="2"/>
      <queryTableField id="8" name="qry_Players.Player_Name" tableColumnId="8"/>
      <queryTableField id="3" name="BuyIn" tableColumnId="3"/>
      <queryTableField id="4" name="Rebuy" tableColumnId="4"/>
      <queryTableField id="5" name="CashOut" tableColumnId="5"/>
      <queryTableField id="6" name="League Points" tableColumnId="6"/>
      <queryTableField id="7" name="ROI" tableColumnId="7"/>
    </queryTableFields>
  </queryTableRefresh>
  <extLst>
    <ext xmlns:x15="http://schemas.microsoft.com/office/spreadsheetml/2010/11/main" uri="{883FBD77-0823-4a55-B5E3-86C4891E6966}">
      <x15:queryTable sourceDataName="Query - qry_Player_Game_Stats_2026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6" xr16:uid="{D29177C6-1633-4AF9-AA9E-A801ABECFECA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_Out" tableColumnId="3"/>
      <queryTableField id="4" name="Games_Played" tableColumnId="4"/>
      <queryTableField id="5" name="Average Cash Per Game 2025 - 2026" tableColumnId="5"/>
    </queryTableFields>
  </queryTableRefresh>
  <extLst>
    <ext xmlns:x15="http://schemas.microsoft.com/office/spreadsheetml/2010/11/main" uri="{883FBD77-0823-4a55-B5E3-86C4891E6966}">
      <x15:queryTable sourceDataName="Query - Top 10 per player for 2025 and 2026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FCC9A06-DD83-431E-B0A0-165B996C2930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out" tableColumnId="3"/>
      <queryTableField id="4" name="Appearances" tableColumnId="4"/>
      <queryTableField id="5" name="League_Points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5" xr16:uid="{E71437EC-2982-4F30-B1D4-3C47507A53FB}" autoFormatId="16" applyNumberFormats="0" applyBorderFormats="0" applyFontFormats="0" applyPatternFormats="0" applyAlignmentFormats="0" applyWidthHeightFormats="0">
  <queryTableRefresh nextId="9">
    <queryTableFields count="6">
      <queryTableField id="1" name="Player_No" tableColumnId="1"/>
      <queryTableField id="7" name="Player_Name" tableColumnId="7"/>
      <queryTableField id="3" name="Date" tableColumnId="3"/>
      <queryTableField id="4" name="Game_No" tableColumnId="4"/>
      <queryTableField id="5" name="CashOut" tableColumnId="5"/>
      <queryTableField id="6" name="League Points" tableColumnId="6"/>
    </queryTableFields>
  </queryTableRefresh>
  <extLst>
    <ext xmlns:x15="http://schemas.microsoft.com/office/spreadsheetml/2010/11/main" uri="{883FBD77-0823-4a55-B5E3-86C4891E6966}">
      <x15:queryTable sourceDataName="Query - List of Cashouts per player for 2026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3C30EDB7-4CA0-4764-9E6D-B003624B2798}" autoFormatId="16" applyNumberFormats="0" applyBorderFormats="0" applyFontFormats="0" applyPatternFormats="0" applyAlignmentFormats="0" applyWidthHeightFormats="0">
  <queryTableRefresh nextId="8">
    <queryTableFields count="7">
      <queryTableField id="1" name="Game_ID" tableColumnId="1"/>
      <queryTableField id="2" name="Player_No" tableColumnId="2"/>
      <queryTableField id="3" name="BuyIn" tableColumnId="3"/>
      <queryTableField id="4" name="Rebuy" tableColumnId="4"/>
      <queryTableField id="5" name="CashOut" tableColumnId="5"/>
      <queryTableField id="6" name="ROI" tableColumnId="6"/>
      <queryTableField id="7" name="qry_Players.Player_Name" tableColumnId="7"/>
    </queryTableFields>
  </queryTableRefresh>
  <extLst>
    <ext xmlns:x15="http://schemas.microsoft.com/office/spreadsheetml/2010/11/main" uri="{883FBD77-0823-4a55-B5E3-86C4891E6966}">
      <x15:queryTable sourceDataName="Query - qry_Player_Game_Stats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66A23F-1FF2-4D2F-8A0D-04865A32C2FC}" name="Player_Game_Stats" displayName="Player_Game_Stats" ref="A1:E58" totalsRowShown="0">
  <autoFilter ref="A1:E58" xr:uid="{0B66A23F-1FF2-4D2F-8A0D-04865A32C2FC}"/>
  <tableColumns count="5">
    <tableColumn id="1" xr3:uid="{F0CD825F-B22D-4874-A1E5-EC267FEB927D}" name="Game_Number"/>
    <tableColumn id="2" xr3:uid="{0C92AC2D-35A5-4103-9EBA-B964AC4598FA}" name="PlayerNo"/>
    <tableColumn id="3" xr3:uid="{22ECE26E-6082-4036-BEF6-A7BB0F3E7573}" name="BuyIn" dataDxfId="107"/>
    <tableColumn id="4" xr3:uid="{26E7DB68-E557-4F94-9F01-9B8FAF9E2C7A}" name="Rebuy" dataDxfId="106"/>
    <tableColumn id="5" xr3:uid="{CCEBB7B8-9EAF-4D13-BD62-7D8780EC8B72}" name="CashOut" dataDxfId="10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EE41BA-28D7-4CFE-BCBC-09AF38483EE5}" name="League_Paymenst_2026" displayName="League_Paymenst_2026" ref="A2:Q15" totalsRowCount="1">
  <autoFilter ref="A2:Q14" xr:uid="{DEEE41BA-28D7-4CFE-BCBC-09AF38483EE5}"/>
  <tableColumns count="17">
    <tableColumn id="1" xr3:uid="{D9BB77C1-B153-4DC9-AB4F-46B073C9802C}" name="Player_No" totalsRowLabel="Total"/>
    <tableColumn id="2" xr3:uid="{777EF35F-DF6E-4218-8A2E-886E76E5CCBF}" name="FullName"/>
    <tableColumn id="3" xr3:uid="{C2740B49-3160-4717-B226-181C1BFF78F4}" name="23/01/2026" totalsRowFunction="sum" dataDxfId="98" totalsRowDxfId="20"/>
    <tableColumn id="4" xr3:uid="{ECC27581-19AC-4220-8CBF-ED38FD7613F3}" name="13/02/2026" totalsRowFunction="sum" dataDxfId="97" totalsRowDxfId="19"/>
    <tableColumn id="5" xr3:uid="{1308133D-F013-4CB9-A6ED-ACABF1D9D44B}" name="06/03/2026" totalsRowFunction="sum" dataDxfId="96" totalsRowDxfId="18"/>
    <tableColumn id="6" xr3:uid="{2A5C365C-7BD2-4724-A447-E6C35C83FCF9}" name="03/04/2026" totalsRowFunction="sum" dataDxfId="95" totalsRowDxfId="17"/>
    <tableColumn id="7" xr3:uid="{94C5C22F-4CEA-46F4-BADE-BDCEDCBC7A0E}" name="Week5" totalsRowFunction="sum" dataDxfId="94" totalsRowDxfId="16"/>
    <tableColumn id="8" xr3:uid="{0563C163-E688-414A-B028-97E5FAA83B1A}" name="Week6" totalsRowFunction="sum" dataDxfId="93" totalsRowDxfId="15"/>
    <tableColumn id="9" xr3:uid="{AF465F9B-4B17-4946-B60B-48283A067B48}" name="Week7" totalsRowFunction="sum" dataDxfId="92" totalsRowDxfId="14"/>
    <tableColumn id="10" xr3:uid="{07DFEE1A-6A59-40BB-98D8-F4B2C60538C0}" name="Week8" totalsRowFunction="sum" dataDxfId="91" totalsRowDxfId="13"/>
    <tableColumn id="11" xr3:uid="{52995472-9E50-4339-B494-30FA1A3E031B}" name="Week9" totalsRowFunction="sum" dataDxfId="90" totalsRowDxfId="12"/>
    <tableColumn id="12" xr3:uid="{F6A60054-EC8B-4468-AE1F-13A57D8D744D}" name="Week10" totalsRowFunction="sum" dataDxfId="89" totalsRowDxfId="11"/>
    <tableColumn id="13" xr3:uid="{E56DC21D-A0AD-4E9E-A781-AA21C2EE660F}" name="Week11" totalsRowFunction="sum" dataDxfId="88" totalsRowDxfId="10"/>
    <tableColumn id="14" xr3:uid="{DAFF31BB-9E10-42AB-B2EB-E830295F96B8}" name="Week12" totalsRowFunction="sum" dataDxfId="87" totalsRowDxfId="9"/>
    <tableColumn id="15" xr3:uid="{62860BC6-8010-4BBD-8AA0-1980A660D7C5}" name="Week13" totalsRowFunction="sum" dataDxfId="86" totalsRowDxfId="8"/>
    <tableColumn id="16" xr3:uid="{B099F725-2C0B-4BC3-A1F0-AF4779A32745}" name="Week14" totalsRowFunction="sum" dataDxfId="85" totalsRowDxfId="7"/>
    <tableColumn id="17" xr3:uid="{E32710AA-A898-4781-8951-0A1B27E2A2A0}" name="Total" totalsRowFunction="sum" dataDxfId="84" totalsRowDxfId="6">
      <calculatedColumnFormula>SUM(League_Paymenst_2026[[#This Row],[23/01/2026]:[Week14]])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8DA1C0-233B-4CAE-BAE6-1CED8393F728}" name="qry_Players" displayName="qry_Players" ref="A1:B13" tableType="queryTable" totalsRowShown="0">
  <autoFilter ref="A1:B13" xr:uid="{438DA1C0-233B-4CAE-BAE6-1CED8393F728}"/>
  <tableColumns count="2">
    <tableColumn id="1" xr3:uid="{7F255B00-AAAF-48C6-BD5C-79206D3BD908}" uniqueName="1" name="Player_No" queryTableFieldId="1"/>
    <tableColumn id="2" xr3:uid="{F0238E0D-1938-4284-8C6C-BAFC9B108D0E}" uniqueName="2" name="Player_Name" queryTableFieldId="2" dataDxfId="8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620946A-8040-42A9-ACB5-AD95B625A6A2}" name="qry_Game_Number" displayName="qry_Game_Number" ref="A1:D13" tableType="queryTable" totalsRowShown="0">
  <autoFilter ref="A1:D13" xr:uid="{6620946A-8040-42A9-ACB5-AD95B625A6A2}"/>
  <sortState xmlns:xlrd2="http://schemas.microsoft.com/office/spreadsheetml/2017/richdata2" ref="A2:D13">
    <sortCondition ref="B1:B13"/>
  </sortState>
  <tableColumns count="4">
    <tableColumn id="1" xr3:uid="{18B19D20-0C7C-4AE6-A7B4-B2E0A1501C15}" uniqueName="1" name="Game_ID" queryTableFieldId="1"/>
    <tableColumn id="2" xr3:uid="{B459EE32-961A-4596-A17C-089AA212CEE8}" uniqueName="2" name="Game_Date" queryTableFieldId="2" dataDxfId="50"/>
    <tableColumn id="3" xr3:uid="{16A1D914-04A6-4EC5-9B89-5B78F0E3CA88}" uniqueName="3" name="Player_No_Host" queryTableFieldId="3"/>
    <tableColumn id="4" xr3:uid="{FBC4313B-2C77-4006-AF85-0A4C98B2F70F}" uniqueName="4" name="qry_Players.Player_Name" queryTableFieldId="4" dataDxfId="4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DB0D924-0B8C-42F1-8E9A-9B99F6276E5B}" name="qry_Player_Game_Stats_2026" displayName="qry_Player_Game_Stats_2026" ref="A1:H40" tableType="queryTable" totalsRowCount="1">
  <autoFilter ref="A1:H39" xr:uid="{EDB0D924-0B8C-42F1-8E9A-9B99F6276E5B}"/>
  <sortState xmlns:xlrd2="http://schemas.microsoft.com/office/spreadsheetml/2017/richdata2" ref="A2:H39">
    <sortCondition ref="A1:A39"/>
  </sortState>
  <tableColumns count="8">
    <tableColumn id="1" xr3:uid="{365D82B1-793A-4456-BEC9-5C04D0F011EC}" uniqueName="1" name="Game_ID" totalsRowLabel="Total" queryTableFieldId="1"/>
    <tableColumn id="2" xr3:uid="{856C68C4-4CEA-4E05-8F76-E62440216FC4}" uniqueName="2" name="Player_No" queryTableFieldId="2"/>
    <tableColumn id="8" xr3:uid="{E3372587-DAE9-4DDC-B41D-8719ED437745}" uniqueName="8" name="qry_Players.Player_Name" queryTableFieldId="8" dataDxfId="26"/>
    <tableColumn id="3" xr3:uid="{04414F35-634B-41DF-9DF1-62B443DA2025}" uniqueName="3" name="BuyIn" totalsRowFunction="sum" queryTableFieldId="3" dataDxfId="25" totalsRowDxfId="27"/>
    <tableColumn id="4" xr3:uid="{F3ECD1C4-26E9-4247-A1FC-C2CAFBAE328B}" uniqueName="4" name="Rebuy" totalsRowFunction="sum" queryTableFieldId="4" dataDxfId="24" totalsRowDxfId="28"/>
    <tableColumn id="5" xr3:uid="{07C8CD74-13B3-4953-BFD0-31CAA114E296}" uniqueName="5" name="CashOut" totalsRowFunction="sum" queryTableFieldId="5" dataDxfId="23" totalsRowDxfId="29"/>
    <tableColumn id="6" xr3:uid="{5BA02402-BB08-4C55-8C36-F7FF8CB1F212}" uniqueName="6" name="League Points" totalsRowFunction="sum" queryTableFieldId="6"/>
    <tableColumn id="7" xr3:uid="{8738C0A6-8EFB-4DD4-B8AF-B8CD842020F7}" uniqueName="7" name="ROI" totalsRowFunction="sum" queryTableFieldId="7" dataDxfId="22" totalsRowDxfId="3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90084A4-8C2D-4900-B89E-B8DE678811EF}" name="Top_10_per_player_for_2025_and_2026" displayName="Top_10_per_player_for_2025_and_2026" ref="A1:E12" tableType="queryTable" totalsRowCount="1">
  <autoFilter ref="A1:E11" xr:uid="{C90084A4-8C2D-4900-B89E-B8DE678811EF}"/>
  <sortState xmlns:xlrd2="http://schemas.microsoft.com/office/spreadsheetml/2017/richdata2" ref="A2:E11">
    <sortCondition descending="1" ref="E1:E11"/>
  </sortState>
  <tableColumns count="5">
    <tableColumn id="1" xr3:uid="{678B4724-3F58-4F58-BBA0-BDF2EFD667E4}" uniqueName="1" name="Player_no" totalsRowLabel="Total" queryTableFieldId="1"/>
    <tableColumn id="2" xr3:uid="{53EC3F1A-AB2A-4CA2-90E9-D9425E53F3B5}" uniqueName="2" name="Player_Name" queryTableFieldId="2" dataDxfId="57"/>
    <tableColumn id="3" xr3:uid="{BCCB1BF0-5D2E-4392-9048-E7C6373F9DC5}" uniqueName="3" name="Total_Cash_Out" totalsRowFunction="average" queryTableFieldId="3" dataDxfId="46" totalsRowDxfId="47"/>
    <tableColumn id="4" xr3:uid="{C85ED00E-34A5-407B-90DC-8F7C68C8FB30}" uniqueName="4" name="Games_Played" totalsRowFunction="average" queryTableFieldId="4"/>
    <tableColumn id="5" xr3:uid="{DFDFAAC4-4CB9-49A0-84E3-87A4830B02DB}" uniqueName="5" name="Average Cash Per Game 2025 - 2026" totalsRowFunction="average" queryTableFieldId="5" dataDxfId="45" totalsRowDxfId="4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39F1E7C-0A1F-42AB-B9F2-915DFAD694D1}" name="Players_Top_10_for_2026_1" displayName="Players_Top_10_for_2026_1" ref="A1:E11" tableType="queryTable" totalsRowShown="0">
  <autoFilter ref="A1:E11" xr:uid="{F39F1E7C-0A1F-42AB-B9F2-915DFAD694D1}"/>
  <sortState xmlns:xlrd2="http://schemas.microsoft.com/office/spreadsheetml/2017/richdata2" ref="A2:E11">
    <sortCondition descending="1" ref="E1:E11"/>
  </sortState>
  <tableColumns count="5">
    <tableColumn id="1" xr3:uid="{A11A6267-559A-481B-B2B2-B41702BA5ECD}" uniqueName="1" name="Player_No" queryTableFieldId="1"/>
    <tableColumn id="2" xr3:uid="{B9966259-EC4C-4EA9-8674-F6DB8C7593F3}" uniqueName="2" name="Player_Name" queryTableFieldId="2" dataDxfId="21"/>
    <tableColumn id="3" xr3:uid="{56E78875-AD39-46FB-8A01-FA8BE36D52D9}" uniqueName="3" name="Total_Cashout" queryTableFieldId="3"/>
    <tableColumn id="4" xr3:uid="{830AEBD0-45F1-4FAE-B139-AB2930DEE501}" uniqueName="4" name="Appearances" queryTableFieldId="4"/>
    <tableColumn id="5" xr3:uid="{4A3758C8-2C31-40AD-B1AC-6A2233A44586}" uniqueName="5" name="League_Points" queryTableFieldId="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42B1DC-22B6-42C5-8D9B-B0418EAA074E}" name="List_of_Cashouts_per_player_for_2026" displayName="List_of_Cashouts_per_player_for_2026" ref="A1:F40" tableType="queryTable" totalsRowCount="1">
  <autoFilter ref="A1:F39" xr:uid="{1942B1DC-22B6-42C5-8D9B-B0418EAA074E}"/>
  <tableColumns count="6">
    <tableColumn id="1" xr3:uid="{E2A523A9-F1C2-4089-88A1-986B843B1292}" uniqueName="1" name="Player_No" totalsRowLabel="Total" queryTableFieldId="1"/>
    <tableColumn id="7" xr3:uid="{27FD7AFA-E25F-4AC8-8A49-918F0B3E89E1}" uniqueName="7" name="Player_Name" queryTableFieldId="7" dataDxfId="43"/>
    <tableColumn id="3" xr3:uid="{F820E8CA-6A4C-48EE-B23B-488ED55C2688}" uniqueName="3" name="Date" queryTableFieldId="3" dataDxfId="42"/>
    <tableColumn id="4" xr3:uid="{550C7A1F-0EC5-4326-9323-8DBA784DD050}" uniqueName="4" name="Game_No" totalsRowFunction="count" queryTableFieldId="4"/>
    <tableColumn id="5" xr3:uid="{2AFDD9FB-516D-41C0-819C-E8866245E3FB}" uniqueName="5" name="CashOut" totalsRowFunction="sum" queryTableFieldId="5" dataDxfId="41" totalsRowDxfId="44"/>
    <tableColumn id="6" xr3:uid="{823C75C5-A05B-4543-8808-551AD2189B88}" uniqueName="6" name="League Points" totalsRowFunction="sum" queryTableFieldId="6" dataDxfId="4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A55DE5-BB86-4566-A2CE-035781296B1D}" name="qry_Player_Game_Stats" displayName="qry_Player_Game_Stats" ref="A1:G89" tableType="queryTable" totalsRowCount="1">
  <autoFilter ref="A1:G88" xr:uid="{20A55DE5-BB86-4566-A2CE-035781296B1D}"/>
  <tableColumns count="7">
    <tableColumn id="1" xr3:uid="{87799735-5221-4FCB-A091-8FBDF220CAA4}" uniqueName="1" name="Game_ID" totalsRowLabel="Total" queryTableFieldId="1"/>
    <tableColumn id="2" xr3:uid="{D2ABC684-8214-4193-B754-74C9ED5CE074}" uniqueName="2" name="Player_No" queryTableFieldId="2"/>
    <tableColumn id="3" xr3:uid="{401436E3-6E66-4D88-A8F1-286925174421}" uniqueName="3" name="BuyIn" totalsRowFunction="sum" queryTableFieldId="3" dataDxfId="35" totalsRowDxfId="36"/>
    <tableColumn id="4" xr3:uid="{6FF2D69D-1643-4E9C-A115-F94F8803F92C}" uniqueName="4" name="Rebuy" totalsRowFunction="sum" queryTableFieldId="4" dataDxfId="34" totalsRowDxfId="37"/>
    <tableColumn id="5" xr3:uid="{7C460453-B175-429B-A255-061EECB32A28}" uniqueName="5" name="CashOut" totalsRowFunction="sum" queryTableFieldId="5" dataDxfId="33" totalsRowDxfId="38"/>
    <tableColumn id="6" xr3:uid="{B15797D8-6CA3-4EC1-B570-D868CA49C9F8}" uniqueName="6" name="ROI" totalsRowFunction="sum" queryTableFieldId="6" dataDxfId="32" totalsRowDxfId="39"/>
    <tableColumn id="7" xr3:uid="{25EDE672-4249-4B63-98DA-F0E838F0B62F}" uniqueName="7" name="qry_Players.Player_Name" queryTableFieldId="7" dataDxfId="3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7DE5B-F268-4DD9-AF1C-7D4CCDD4CBB8}">
  <dimension ref="A1:E58"/>
  <sheetViews>
    <sheetView workbookViewId="0">
      <selection activeCell="J16" sqref="J16"/>
    </sheetView>
  </sheetViews>
  <sheetFormatPr defaultRowHeight="15" x14ac:dyDescent="0.25"/>
  <cols>
    <col min="1" max="1" width="16.85546875" bestFit="1" customWidth="1"/>
    <col min="2" max="2" width="11.42578125" bestFit="1" customWidth="1"/>
    <col min="3" max="3" width="8.28515625" bestFit="1" customWidth="1"/>
    <col min="4" max="4" width="9" bestFit="1" customWidth="1"/>
    <col min="5" max="5" width="11.140625" bestFit="1" customWidth="1"/>
    <col min="6" max="6" width="43.5703125" bestFit="1" customWidth="1"/>
    <col min="7" max="7" width="19.140625" bestFit="1" customWidth="1"/>
  </cols>
  <sheetData>
    <row r="1" spans="1:5" x14ac:dyDescent="0.25">
      <c r="A1" t="s">
        <v>14</v>
      </c>
      <c r="B1" t="s">
        <v>0</v>
      </c>
      <c r="C1" t="s">
        <v>15</v>
      </c>
      <c r="D1" t="s">
        <v>16</v>
      </c>
      <c r="E1" t="s">
        <v>17</v>
      </c>
    </row>
    <row r="2" spans="1:5" x14ac:dyDescent="0.25">
      <c r="A2">
        <v>1</v>
      </c>
      <c r="B2">
        <v>2</v>
      </c>
      <c r="C2" s="1">
        <v>30</v>
      </c>
      <c r="D2" s="1">
        <v>0</v>
      </c>
      <c r="E2" s="1">
        <v>105</v>
      </c>
    </row>
    <row r="3" spans="1:5" x14ac:dyDescent="0.25">
      <c r="A3">
        <v>1</v>
      </c>
      <c r="B3">
        <v>5</v>
      </c>
      <c r="C3" s="1">
        <v>30</v>
      </c>
      <c r="D3" s="1">
        <v>20</v>
      </c>
      <c r="E3" s="1">
        <v>25</v>
      </c>
    </row>
    <row r="4" spans="1:5" x14ac:dyDescent="0.25">
      <c r="A4">
        <v>1</v>
      </c>
      <c r="B4">
        <v>6</v>
      </c>
      <c r="C4" s="1">
        <v>30</v>
      </c>
      <c r="D4" s="1">
        <v>0</v>
      </c>
      <c r="E4" s="1">
        <v>0</v>
      </c>
    </row>
    <row r="5" spans="1:5" x14ac:dyDescent="0.25">
      <c r="A5">
        <v>1</v>
      </c>
      <c r="B5">
        <v>3</v>
      </c>
      <c r="C5" s="1">
        <v>30</v>
      </c>
      <c r="D5" s="1">
        <v>20</v>
      </c>
      <c r="E5" s="1">
        <v>40</v>
      </c>
    </row>
    <row r="6" spans="1:5" x14ac:dyDescent="0.25">
      <c r="A6">
        <v>1</v>
      </c>
      <c r="B6">
        <v>4</v>
      </c>
      <c r="C6" s="1">
        <v>30</v>
      </c>
      <c r="D6" s="1">
        <v>0</v>
      </c>
      <c r="E6" s="1">
        <v>20</v>
      </c>
    </row>
    <row r="7" spans="1:5" x14ac:dyDescent="0.25">
      <c r="A7">
        <v>1</v>
      </c>
      <c r="B7">
        <v>1</v>
      </c>
      <c r="C7" s="1">
        <v>30</v>
      </c>
      <c r="D7" s="1">
        <v>20</v>
      </c>
      <c r="E7" s="1">
        <v>50</v>
      </c>
    </row>
    <row r="8" spans="1:5" x14ac:dyDescent="0.25">
      <c r="A8">
        <v>2</v>
      </c>
      <c r="B8">
        <v>1</v>
      </c>
      <c r="C8" s="1">
        <v>30</v>
      </c>
      <c r="D8" s="1">
        <v>0</v>
      </c>
      <c r="E8" s="1">
        <v>25</v>
      </c>
    </row>
    <row r="9" spans="1:5" x14ac:dyDescent="0.25">
      <c r="A9">
        <v>2</v>
      </c>
      <c r="B9">
        <v>2</v>
      </c>
      <c r="C9" s="1">
        <v>30</v>
      </c>
      <c r="D9" s="1">
        <v>0</v>
      </c>
      <c r="E9" s="1">
        <v>55</v>
      </c>
    </row>
    <row r="10" spans="1:5" x14ac:dyDescent="0.25">
      <c r="A10">
        <v>2</v>
      </c>
      <c r="B10">
        <v>3</v>
      </c>
      <c r="C10" s="1">
        <v>30</v>
      </c>
      <c r="D10" s="1">
        <v>20</v>
      </c>
      <c r="E10" s="1">
        <v>30</v>
      </c>
    </row>
    <row r="11" spans="1:5" x14ac:dyDescent="0.25">
      <c r="A11">
        <v>2</v>
      </c>
      <c r="B11">
        <v>4</v>
      </c>
      <c r="C11" s="1">
        <v>30</v>
      </c>
      <c r="D11" s="1">
        <v>20</v>
      </c>
      <c r="E11" s="1">
        <v>25</v>
      </c>
    </row>
    <row r="12" spans="1:5" x14ac:dyDescent="0.25">
      <c r="A12">
        <v>2</v>
      </c>
      <c r="B12">
        <v>5</v>
      </c>
      <c r="C12" s="1">
        <v>30</v>
      </c>
      <c r="D12" s="1">
        <v>20</v>
      </c>
      <c r="E12" s="1">
        <v>0</v>
      </c>
    </row>
    <row r="13" spans="1:5" x14ac:dyDescent="0.25">
      <c r="A13">
        <v>2</v>
      </c>
      <c r="B13">
        <v>8</v>
      </c>
      <c r="C13" s="1">
        <v>30</v>
      </c>
      <c r="D13" s="1">
        <v>0</v>
      </c>
      <c r="E13" s="1">
        <v>60</v>
      </c>
    </row>
    <row r="14" spans="1:5" x14ac:dyDescent="0.25">
      <c r="A14">
        <v>2</v>
      </c>
      <c r="B14">
        <v>6</v>
      </c>
      <c r="C14" s="1">
        <v>30</v>
      </c>
      <c r="D14" s="1">
        <v>20</v>
      </c>
      <c r="E14" s="1">
        <v>130</v>
      </c>
    </row>
    <row r="15" spans="1:5" x14ac:dyDescent="0.25">
      <c r="A15">
        <v>2</v>
      </c>
      <c r="B15">
        <v>11</v>
      </c>
      <c r="C15" s="1">
        <v>30</v>
      </c>
      <c r="D15" s="1">
        <v>0</v>
      </c>
      <c r="E15" s="1">
        <v>0</v>
      </c>
    </row>
    <row r="16" spans="1:5" x14ac:dyDescent="0.25">
      <c r="A16">
        <v>3</v>
      </c>
      <c r="B16">
        <v>1</v>
      </c>
      <c r="C16" s="1">
        <v>30</v>
      </c>
      <c r="D16" s="1">
        <v>0</v>
      </c>
      <c r="E16" s="1">
        <v>110</v>
      </c>
    </row>
    <row r="17" spans="1:5" x14ac:dyDescent="0.25">
      <c r="A17">
        <v>3</v>
      </c>
      <c r="B17">
        <v>3</v>
      </c>
      <c r="C17" s="1">
        <v>30</v>
      </c>
      <c r="D17" s="1">
        <v>0</v>
      </c>
      <c r="E17" s="1">
        <v>65</v>
      </c>
    </row>
    <row r="18" spans="1:5" x14ac:dyDescent="0.25">
      <c r="A18">
        <v>3</v>
      </c>
      <c r="B18">
        <v>6</v>
      </c>
      <c r="C18" s="1">
        <v>30</v>
      </c>
      <c r="D18" s="1">
        <v>0</v>
      </c>
      <c r="E18" s="1">
        <v>0</v>
      </c>
    </row>
    <row r="19" spans="1:5" x14ac:dyDescent="0.25">
      <c r="A19">
        <v>3</v>
      </c>
      <c r="B19">
        <v>11</v>
      </c>
      <c r="C19" s="1">
        <v>30</v>
      </c>
      <c r="D19" s="1">
        <v>0</v>
      </c>
      <c r="E19" s="1">
        <v>0</v>
      </c>
    </row>
    <row r="20" spans="1:5" x14ac:dyDescent="0.25">
      <c r="A20">
        <v>3</v>
      </c>
      <c r="B20">
        <v>5</v>
      </c>
      <c r="C20" s="1">
        <v>30</v>
      </c>
      <c r="D20" s="1">
        <v>20</v>
      </c>
      <c r="E20" s="1">
        <v>0</v>
      </c>
    </row>
    <row r="21" spans="1:5" x14ac:dyDescent="0.25">
      <c r="A21">
        <v>3</v>
      </c>
      <c r="B21">
        <v>4</v>
      </c>
      <c r="C21" s="1">
        <v>30</v>
      </c>
      <c r="D21" s="1">
        <v>20</v>
      </c>
      <c r="E21" s="1">
        <v>0</v>
      </c>
    </row>
    <row r="22" spans="1:5" x14ac:dyDescent="0.25">
      <c r="A22">
        <v>3</v>
      </c>
      <c r="B22">
        <v>8</v>
      </c>
      <c r="C22" s="1">
        <v>30</v>
      </c>
      <c r="D22" s="1">
        <v>30</v>
      </c>
      <c r="E22" s="1">
        <v>0</v>
      </c>
    </row>
    <row r="23" spans="1:5" x14ac:dyDescent="0.25">
      <c r="A23">
        <v>3</v>
      </c>
      <c r="B23">
        <v>7</v>
      </c>
      <c r="C23" s="1">
        <v>30</v>
      </c>
      <c r="D23" s="1">
        <v>0</v>
      </c>
      <c r="E23" s="1">
        <v>75</v>
      </c>
    </row>
    <row r="24" spans="1:5" x14ac:dyDescent="0.25">
      <c r="A24">
        <v>4</v>
      </c>
      <c r="B24">
        <v>7</v>
      </c>
      <c r="C24" s="1">
        <v>30</v>
      </c>
      <c r="D24" s="1">
        <v>20</v>
      </c>
      <c r="E24" s="1">
        <v>65</v>
      </c>
    </row>
    <row r="25" spans="1:5" x14ac:dyDescent="0.25">
      <c r="A25">
        <v>4</v>
      </c>
      <c r="B25">
        <v>3</v>
      </c>
      <c r="C25" s="1">
        <v>30</v>
      </c>
      <c r="D25" s="1">
        <v>0</v>
      </c>
      <c r="E25" s="1">
        <v>45</v>
      </c>
    </row>
    <row r="26" spans="1:5" x14ac:dyDescent="0.25">
      <c r="A26">
        <v>4</v>
      </c>
      <c r="B26">
        <v>6</v>
      </c>
      <c r="C26" s="1">
        <v>30</v>
      </c>
      <c r="D26" s="1">
        <v>0</v>
      </c>
      <c r="E26" s="1">
        <v>100</v>
      </c>
    </row>
    <row r="27" spans="1:5" x14ac:dyDescent="0.25">
      <c r="A27">
        <v>4</v>
      </c>
      <c r="B27">
        <v>11</v>
      </c>
      <c r="C27" s="1">
        <v>30</v>
      </c>
      <c r="D27" s="1">
        <v>0</v>
      </c>
      <c r="E27" s="1">
        <v>45</v>
      </c>
    </row>
    <row r="28" spans="1:5" x14ac:dyDescent="0.25">
      <c r="A28">
        <v>4</v>
      </c>
      <c r="B28">
        <v>1</v>
      </c>
      <c r="C28" s="1">
        <v>30</v>
      </c>
      <c r="D28" s="1">
        <v>0</v>
      </c>
      <c r="E28" s="1">
        <v>40</v>
      </c>
    </row>
    <row r="29" spans="1:5" x14ac:dyDescent="0.25">
      <c r="A29">
        <v>4</v>
      </c>
      <c r="B29">
        <v>5</v>
      </c>
      <c r="C29" s="1">
        <v>30</v>
      </c>
      <c r="D29" s="1">
        <v>40</v>
      </c>
      <c r="E29" s="1">
        <v>15</v>
      </c>
    </row>
    <row r="30" spans="1:5" x14ac:dyDescent="0.25">
      <c r="A30">
        <v>4</v>
      </c>
      <c r="B30">
        <v>8</v>
      </c>
      <c r="C30" s="1">
        <v>30</v>
      </c>
      <c r="D30" s="1">
        <v>40</v>
      </c>
      <c r="E30" s="1">
        <v>0</v>
      </c>
    </row>
    <row r="31" spans="1:5" x14ac:dyDescent="0.25">
      <c r="A31">
        <v>5</v>
      </c>
      <c r="B31">
        <v>1</v>
      </c>
      <c r="C31" s="1">
        <v>30</v>
      </c>
      <c r="D31" s="1">
        <v>0</v>
      </c>
      <c r="E31" s="1">
        <v>60</v>
      </c>
    </row>
    <row r="32" spans="1:5" x14ac:dyDescent="0.25">
      <c r="A32">
        <v>5</v>
      </c>
      <c r="B32">
        <v>3</v>
      </c>
      <c r="C32" s="1">
        <v>30</v>
      </c>
      <c r="D32" s="1">
        <v>0</v>
      </c>
      <c r="E32" s="1">
        <v>0</v>
      </c>
    </row>
    <row r="33" spans="1:5" x14ac:dyDescent="0.25">
      <c r="A33">
        <v>5</v>
      </c>
      <c r="B33">
        <v>7</v>
      </c>
      <c r="C33" s="1">
        <v>30</v>
      </c>
      <c r="D33" s="1">
        <v>20</v>
      </c>
      <c r="E33" s="1">
        <v>30</v>
      </c>
    </row>
    <row r="34" spans="1:5" x14ac:dyDescent="0.25">
      <c r="A34">
        <v>5</v>
      </c>
      <c r="B34">
        <v>6</v>
      </c>
      <c r="C34" s="1">
        <v>30</v>
      </c>
      <c r="D34" s="1">
        <v>40</v>
      </c>
      <c r="E34" s="1">
        <v>0</v>
      </c>
    </row>
    <row r="35" spans="1:5" x14ac:dyDescent="0.25">
      <c r="A35">
        <v>5</v>
      </c>
      <c r="B35">
        <v>11</v>
      </c>
      <c r="C35" s="1">
        <v>30</v>
      </c>
      <c r="D35" s="1">
        <v>0</v>
      </c>
      <c r="E35" s="1">
        <v>50</v>
      </c>
    </row>
    <row r="36" spans="1:5" x14ac:dyDescent="0.25">
      <c r="A36">
        <v>5</v>
      </c>
      <c r="B36">
        <v>5</v>
      </c>
      <c r="C36" s="1">
        <v>30</v>
      </c>
      <c r="D36" s="1">
        <v>20</v>
      </c>
      <c r="E36" s="1">
        <v>120</v>
      </c>
    </row>
    <row r="37" spans="1:5" x14ac:dyDescent="0.25">
      <c r="A37">
        <v>5</v>
      </c>
      <c r="B37">
        <v>8</v>
      </c>
      <c r="C37" s="1">
        <v>30</v>
      </c>
      <c r="D37" s="1">
        <v>0</v>
      </c>
      <c r="E37" s="1">
        <v>30</v>
      </c>
    </row>
    <row r="38" spans="1:5" x14ac:dyDescent="0.25">
      <c r="A38">
        <v>6</v>
      </c>
      <c r="B38">
        <v>3</v>
      </c>
      <c r="C38" s="1">
        <v>30</v>
      </c>
      <c r="D38" s="1">
        <v>40</v>
      </c>
      <c r="E38" s="1">
        <v>35</v>
      </c>
    </row>
    <row r="39" spans="1:5" x14ac:dyDescent="0.25">
      <c r="A39">
        <v>6</v>
      </c>
      <c r="B39">
        <v>7</v>
      </c>
      <c r="C39" s="1">
        <v>30</v>
      </c>
      <c r="D39" s="1">
        <v>20</v>
      </c>
      <c r="E39" s="1">
        <v>0</v>
      </c>
    </row>
    <row r="40" spans="1:5" x14ac:dyDescent="0.25">
      <c r="A40">
        <v>6</v>
      </c>
      <c r="B40">
        <v>6</v>
      </c>
      <c r="C40" s="1">
        <v>30</v>
      </c>
      <c r="D40" s="1">
        <v>0</v>
      </c>
      <c r="E40" s="1">
        <v>85</v>
      </c>
    </row>
    <row r="41" spans="1:5" x14ac:dyDescent="0.25">
      <c r="A41">
        <v>6</v>
      </c>
      <c r="B41">
        <v>11</v>
      </c>
      <c r="C41" s="1">
        <v>30</v>
      </c>
      <c r="D41" s="1">
        <v>0</v>
      </c>
      <c r="E41" s="1">
        <v>10</v>
      </c>
    </row>
    <row r="42" spans="1:5" x14ac:dyDescent="0.25">
      <c r="A42">
        <v>6</v>
      </c>
      <c r="B42">
        <v>1</v>
      </c>
      <c r="C42" s="1">
        <v>30</v>
      </c>
      <c r="D42" s="1">
        <v>0</v>
      </c>
      <c r="E42" s="1">
        <v>25</v>
      </c>
    </row>
    <row r="43" spans="1:5" x14ac:dyDescent="0.25">
      <c r="A43">
        <v>6</v>
      </c>
      <c r="B43">
        <v>5</v>
      </c>
      <c r="C43" s="1">
        <v>30</v>
      </c>
      <c r="D43" s="1">
        <v>20</v>
      </c>
      <c r="E43" s="1">
        <v>30</v>
      </c>
    </row>
    <row r="44" spans="1:5" x14ac:dyDescent="0.25">
      <c r="A44">
        <v>6</v>
      </c>
      <c r="B44">
        <v>4</v>
      </c>
      <c r="C44" s="1">
        <v>30</v>
      </c>
      <c r="D44" s="1">
        <v>0</v>
      </c>
      <c r="E44" s="1">
        <v>105</v>
      </c>
    </row>
    <row r="45" spans="1:5" x14ac:dyDescent="0.25">
      <c r="A45">
        <v>7</v>
      </c>
      <c r="B45">
        <v>12</v>
      </c>
      <c r="C45" s="1">
        <v>30</v>
      </c>
      <c r="D45" s="1">
        <v>0</v>
      </c>
      <c r="E45" s="1">
        <v>0</v>
      </c>
    </row>
    <row r="46" spans="1:5" x14ac:dyDescent="0.25">
      <c r="A46">
        <v>7</v>
      </c>
      <c r="B46">
        <v>3</v>
      </c>
      <c r="C46" s="1">
        <v>30</v>
      </c>
      <c r="D46" s="1">
        <v>0</v>
      </c>
      <c r="E46" s="1">
        <v>0</v>
      </c>
    </row>
    <row r="47" spans="1:5" x14ac:dyDescent="0.25">
      <c r="A47">
        <v>7</v>
      </c>
      <c r="B47">
        <v>7</v>
      </c>
      <c r="C47" s="1">
        <v>30</v>
      </c>
      <c r="D47" s="1">
        <v>0</v>
      </c>
      <c r="E47" s="1">
        <v>65</v>
      </c>
    </row>
    <row r="48" spans="1:5" x14ac:dyDescent="0.25">
      <c r="A48">
        <v>7</v>
      </c>
      <c r="B48">
        <v>6</v>
      </c>
      <c r="C48" s="1">
        <v>30</v>
      </c>
      <c r="D48" s="1">
        <v>40</v>
      </c>
      <c r="E48" s="1">
        <v>70</v>
      </c>
    </row>
    <row r="49" spans="1:5" x14ac:dyDescent="0.25">
      <c r="A49">
        <v>7</v>
      </c>
      <c r="B49">
        <v>1</v>
      </c>
      <c r="C49" s="1">
        <v>30</v>
      </c>
      <c r="D49" s="1">
        <v>0</v>
      </c>
      <c r="E49" s="1">
        <v>45</v>
      </c>
    </row>
    <row r="50" spans="1:5" x14ac:dyDescent="0.25">
      <c r="A50">
        <v>7</v>
      </c>
      <c r="B50">
        <v>5</v>
      </c>
      <c r="C50" s="1">
        <v>30</v>
      </c>
      <c r="D50" s="1">
        <v>0</v>
      </c>
      <c r="E50" s="1">
        <v>40</v>
      </c>
    </row>
    <row r="51" spans="1:5" x14ac:dyDescent="0.25">
      <c r="A51">
        <v>8</v>
      </c>
      <c r="B51">
        <v>2</v>
      </c>
      <c r="C51" s="1">
        <v>30</v>
      </c>
      <c r="D51" s="1">
        <v>20</v>
      </c>
      <c r="E51" s="1">
        <v>45</v>
      </c>
    </row>
    <row r="52" spans="1:5" x14ac:dyDescent="0.25">
      <c r="A52">
        <v>8</v>
      </c>
      <c r="B52">
        <v>7</v>
      </c>
      <c r="C52" s="1">
        <v>30</v>
      </c>
      <c r="D52" s="1">
        <v>20</v>
      </c>
      <c r="E52" s="1">
        <v>50</v>
      </c>
    </row>
    <row r="53" spans="1:5" x14ac:dyDescent="0.25">
      <c r="A53">
        <v>8</v>
      </c>
      <c r="B53">
        <v>3</v>
      </c>
      <c r="C53" s="1">
        <v>30</v>
      </c>
      <c r="D53" s="1">
        <v>20</v>
      </c>
      <c r="E53" s="1">
        <v>25</v>
      </c>
    </row>
    <row r="54" spans="1:5" x14ac:dyDescent="0.25">
      <c r="A54">
        <v>8</v>
      </c>
      <c r="B54">
        <v>12</v>
      </c>
      <c r="C54" s="1">
        <v>30</v>
      </c>
      <c r="D54" s="1">
        <v>20</v>
      </c>
      <c r="E54" s="1">
        <v>25</v>
      </c>
    </row>
    <row r="55" spans="1:5" x14ac:dyDescent="0.25">
      <c r="A55">
        <v>8</v>
      </c>
      <c r="B55">
        <v>1</v>
      </c>
      <c r="C55" s="1">
        <v>30</v>
      </c>
      <c r="D55" s="1">
        <v>20</v>
      </c>
      <c r="E55" s="1">
        <v>0</v>
      </c>
    </row>
    <row r="56" spans="1:5" x14ac:dyDescent="0.25">
      <c r="A56">
        <v>8</v>
      </c>
      <c r="B56">
        <v>11</v>
      </c>
      <c r="C56" s="1">
        <v>30</v>
      </c>
      <c r="D56" s="1">
        <v>20</v>
      </c>
      <c r="E56" s="1">
        <v>0</v>
      </c>
    </row>
    <row r="57" spans="1:5" x14ac:dyDescent="0.25">
      <c r="A57">
        <v>8</v>
      </c>
      <c r="B57">
        <v>5</v>
      </c>
      <c r="C57" s="1">
        <v>30</v>
      </c>
      <c r="D57" s="1">
        <v>20</v>
      </c>
      <c r="E57" s="1">
        <v>115</v>
      </c>
    </row>
    <row r="58" spans="1:5" x14ac:dyDescent="0.25">
      <c r="A58">
        <v>8</v>
      </c>
      <c r="B58">
        <v>6</v>
      </c>
      <c r="C58" s="1">
        <v>30</v>
      </c>
      <c r="D58" s="1">
        <v>20</v>
      </c>
      <c r="E58" s="1">
        <v>140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949EA-2800-48DD-8FD2-535100697671}">
  <dimension ref="A1:Q66"/>
  <sheetViews>
    <sheetView workbookViewId="0">
      <selection activeCell="F11" sqref="F11"/>
    </sheetView>
  </sheetViews>
  <sheetFormatPr defaultRowHeight="15" x14ac:dyDescent="0.25"/>
  <cols>
    <col min="1" max="1" width="18" bestFit="1" customWidth="1"/>
    <col min="2" max="2" width="23.85546875" bestFit="1" customWidth="1"/>
    <col min="3" max="3" width="14.7109375" customWidth="1"/>
    <col min="4" max="4" width="15.28515625" customWidth="1"/>
    <col min="5" max="5" width="15.85546875" customWidth="1"/>
    <col min="6" max="6" width="15.85546875" bestFit="1" customWidth="1"/>
    <col min="7" max="11" width="9.42578125" bestFit="1" customWidth="1"/>
    <col min="12" max="16" width="10.42578125" bestFit="1" customWidth="1"/>
  </cols>
  <sheetData>
    <row r="1" spans="1:17" ht="21" x14ac:dyDescent="0.35">
      <c r="A1" s="30" t="s">
        <v>24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</row>
    <row r="2" spans="1:17" x14ac:dyDescent="0.25">
      <c r="A2" t="s">
        <v>22</v>
      </c>
      <c r="B2" t="s">
        <v>1</v>
      </c>
      <c r="C2" s="2" t="s">
        <v>23</v>
      </c>
      <c r="D2" s="2" t="s">
        <v>62</v>
      </c>
      <c r="E2" s="2" t="s">
        <v>65</v>
      </c>
      <c r="F2" s="2" t="s">
        <v>66</v>
      </c>
      <c r="G2" s="2" t="s">
        <v>25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" t="s">
        <v>33</v>
      </c>
      <c r="P2" s="2" t="s">
        <v>34</v>
      </c>
      <c r="Q2" s="2" t="s">
        <v>20</v>
      </c>
    </row>
    <row r="3" spans="1:17" x14ac:dyDescent="0.25">
      <c r="A3">
        <v>1</v>
      </c>
      <c r="B3" t="s">
        <v>2</v>
      </c>
      <c r="C3" s="1">
        <v>10</v>
      </c>
      <c r="D3" s="1">
        <v>10</v>
      </c>
      <c r="E3" s="1">
        <v>10</v>
      </c>
      <c r="F3" s="1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7">
        <f>SUM(League_Paymenst_2026[[#This Row],[23/01/2026]:[Week14]])</f>
        <v>40</v>
      </c>
    </row>
    <row r="4" spans="1:17" x14ac:dyDescent="0.25">
      <c r="A4">
        <v>2</v>
      </c>
      <c r="B4" t="s">
        <v>3</v>
      </c>
      <c r="C4" s="1">
        <v>10</v>
      </c>
      <c r="D4" s="1">
        <v>10</v>
      </c>
      <c r="E4" s="1">
        <v>10</v>
      </c>
      <c r="F4" s="1">
        <v>10</v>
      </c>
      <c r="G4" s="1"/>
      <c r="H4" s="1"/>
      <c r="I4" s="1"/>
      <c r="J4" s="1"/>
      <c r="K4" s="1"/>
      <c r="L4" s="1"/>
      <c r="M4" s="1"/>
      <c r="N4" s="1"/>
      <c r="O4" s="1"/>
      <c r="P4" s="1"/>
      <c r="Q4" s="17">
        <f>SUM(League_Paymenst_2026[[#This Row],[23/01/2026]:[Week14]])</f>
        <v>40</v>
      </c>
    </row>
    <row r="5" spans="1:17" x14ac:dyDescent="0.25">
      <c r="A5">
        <v>3</v>
      </c>
      <c r="B5" t="s">
        <v>4</v>
      </c>
      <c r="C5" s="1">
        <v>10</v>
      </c>
      <c r="D5" s="1">
        <v>10</v>
      </c>
      <c r="E5" s="1">
        <v>10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7">
        <f>SUM(League_Paymenst_2026[[#This Row],[23/01/2026]:[Week14]])</f>
        <v>30</v>
      </c>
    </row>
    <row r="6" spans="1:17" x14ac:dyDescent="0.25">
      <c r="A6">
        <v>4</v>
      </c>
      <c r="B6" t="s">
        <v>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7">
        <f>SUM(League_Paymenst_2026[[#This Row],[23/01/2026]:[Week14]])</f>
        <v>0</v>
      </c>
    </row>
    <row r="7" spans="1:17" x14ac:dyDescent="0.25">
      <c r="A7">
        <v>5</v>
      </c>
      <c r="B7" t="s">
        <v>6</v>
      </c>
      <c r="C7" s="1">
        <v>10</v>
      </c>
      <c r="D7" s="1">
        <v>10</v>
      </c>
      <c r="E7" s="1">
        <v>10</v>
      </c>
      <c r="F7" s="1">
        <v>10</v>
      </c>
      <c r="G7" s="1"/>
      <c r="H7" s="1"/>
      <c r="I7" s="1"/>
      <c r="J7" s="1"/>
      <c r="K7" s="1"/>
      <c r="L7" s="1"/>
      <c r="M7" s="1"/>
      <c r="N7" s="1"/>
      <c r="O7" s="1"/>
      <c r="P7" s="1"/>
      <c r="Q7" s="17">
        <f>SUM(League_Paymenst_2026[[#This Row],[23/01/2026]:[Week14]])</f>
        <v>40</v>
      </c>
    </row>
    <row r="8" spans="1:17" x14ac:dyDescent="0.25">
      <c r="A8">
        <v>6</v>
      </c>
      <c r="B8" t="s">
        <v>7</v>
      </c>
      <c r="C8" s="1">
        <v>10</v>
      </c>
      <c r="D8" s="1">
        <v>10</v>
      </c>
      <c r="E8" s="1">
        <v>10</v>
      </c>
      <c r="F8" s="1">
        <v>10</v>
      </c>
      <c r="G8" s="1"/>
      <c r="H8" s="1"/>
      <c r="I8" s="1"/>
      <c r="J8" s="1"/>
      <c r="K8" s="1"/>
      <c r="L8" s="1"/>
      <c r="M8" s="1"/>
      <c r="N8" s="1"/>
      <c r="O8" s="1"/>
      <c r="P8" s="1"/>
      <c r="Q8" s="17">
        <f>SUM(League_Paymenst_2026[[#This Row],[23/01/2026]:[Week14]])</f>
        <v>40</v>
      </c>
    </row>
    <row r="9" spans="1:17" x14ac:dyDescent="0.25">
      <c r="A9">
        <v>7</v>
      </c>
      <c r="B9" t="s">
        <v>8</v>
      </c>
      <c r="C9" s="1"/>
      <c r="D9" s="1"/>
      <c r="E9" s="1">
        <v>10</v>
      </c>
      <c r="F9" s="1">
        <v>10</v>
      </c>
      <c r="G9" s="1"/>
      <c r="H9" s="1"/>
      <c r="I9" s="1"/>
      <c r="J9" s="1"/>
      <c r="K9" s="1"/>
      <c r="L9" s="1"/>
      <c r="M9" s="1"/>
      <c r="N9" s="1"/>
      <c r="O9" s="1"/>
      <c r="P9" s="1"/>
      <c r="Q9" s="17">
        <f>SUM(League_Paymenst_2026[[#This Row],[23/01/2026]:[Week14]])</f>
        <v>20</v>
      </c>
    </row>
    <row r="10" spans="1:17" x14ac:dyDescent="0.25">
      <c r="A10">
        <v>8</v>
      </c>
      <c r="B10" t="s">
        <v>9</v>
      </c>
      <c r="C10" s="1">
        <v>10</v>
      </c>
      <c r="D10" s="1">
        <v>10</v>
      </c>
      <c r="E10" s="1"/>
      <c r="F10" s="1">
        <v>10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7">
        <f>SUM(League_Paymenst_2026[[#This Row],[23/01/2026]:[Week14]])</f>
        <v>30</v>
      </c>
    </row>
    <row r="11" spans="1:17" x14ac:dyDescent="0.25">
      <c r="A11">
        <v>9</v>
      </c>
      <c r="B11" t="s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7">
        <f>SUM(League_Paymenst_2026[[#This Row],[23/01/2026]:[Week14]])</f>
        <v>0</v>
      </c>
    </row>
    <row r="12" spans="1:17" x14ac:dyDescent="0.25">
      <c r="A12">
        <v>10</v>
      </c>
      <c r="B12" t="s">
        <v>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7">
        <f>SUM(League_Paymenst_2026[[#This Row],[23/01/2026]:[Week14]])</f>
        <v>0</v>
      </c>
    </row>
    <row r="13" spans="1:17" x14ac:dyDescent="0.25">
      <c r="A13">
        <v>11</v>
      </c>
      <c r="B13" t="s">
        <v>12</v>
      </c>
      <c r="C13" s="1">
        <v>10</v>
      </c>
      <c r="D13" s="1">
        <v>10</v>
      </c>
      <c r="E13" s="1">
        <v>10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7">
        <f>SUM(League_Paymenst_2026[[#This Row],[23/01/2026]:[Week14]])</f>
        <v>30</v>
      </c>
    </row>
    <row r="14" spans="1:17" x14ac:dyDescent="0.25">
      <c r="A14">
        <v>12</v>
      </c>
      <c r="B14" t="s">
        <v>19</v>
      </c>
      <c r="C14" s="1"/>
      <c r="D14" s="1"/>
      <c r="E14" s="1">
        <v>10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7">
        <f>SUM(League_Paymenst_2026[[#This Row],[23/01/2026]:[Week14]])</f>
        <v>10</v>
      </c>
    </row>
    <row r="15" spans="1:17" x14ac:dyDescent="0.25">
      <c r="A15" t="s">
        <v>20</v>
      </c>
      <c r="C15" s="18">
        <f>SUBTOTAL(109,League_Paymenst_2026[23/01/2026])</f>
        <v>70</v>
      </c>
      <c r="D15" s="18">
        <f>SUBTOTAL(109,League_Paymenst_2026[13/02/2026])</f>
        <v>70</v>
      </c>
      <c r="E15" s="18">
        <f>SUBTOTAL(109,League_Paymenst_2026[06/03/2026])</f>
        <v>80</v>
      </c>
      <c r="F15" s="18">
        <f>SUBTOTAL(109,League_Paymenst_2026[03/04/2026])</f>
        <v>60</v>
      </c>
      <c r="G15" s="18">
        <f>SUBTOTAL(109,League_Paymenst_2026[Week5])</f>
        <v>0</v>
      </c>
      <c r="H15" s="18">
        <f>SUBTOTAL(109,League_Paymenst_2026[Week6])</f>
        <v>0</v>
      </c>
      <c r="I15" s="18">
        <f>SUBTOTAL(109,League_Paymenst_2026[Week7])</f>
        <v>0</v>
      </c>
      <c r="J15" s="18">
        <f>SUBTOTAL(109,League_Paymenst_2026[Week8])</f>
        <v>0</v>
      </c>
      <c r="K15" s="18">
        <f>SUBTOTAL(109,League_Paymenst_2026[Week9])</f>
        <v>0</v>
      </c>
      <c r="L15" s="18">
        <f>SUBTOTAL(109,League_Paymenst_2026[Week10])</f>
        <v>0</v>
      </c>
      <c r="M15" s="18">
        <f>SUBTOTAL(109,League_Paymenst_2026[Week11])</f>
        <v>0</v>
      </c>
      <c r="N15" s="18">
        <f>SUBTOTAL(109,League_Paymenst_2026[Week12])</f>
        <v>0</v>
      </c>
      <c r="O15" s="18">
        <f>SUBTOTAL(109,League_Paymenst_2026[Week13])</f>
        <v>0</v>
      </c>
      <c r="P15" s="18">
        <f>SUBTOTAL(109,League_Paymenst_2026[Week14])</f>
        <v>0</v>
      </c>
      <c r="Q15" s="18">
        <f>SUBTOTAL(109,League_Paymenst_2026[Total])</f>
        <v>280</v>
      </c>
    </row>
    <row r="16" spans="1:17" x14ac:dyDescent="0.25">
      <c r="A16" t="s">
        <v>55</v>
      </c>
    </row>
    <row r="17" spans="1:7" x14ac:dyDescent="0.25">
      <c r="A17" t="s">
        <v>55</v>
      </c>
    </row>
    <row r="18" spans="1:7" x14ac:dyDescent="0.25">
      <c r="A18" t="s">
        <v>55</v>
      </c>
    </row>
    <row r="19" spans="1:7" x14ac:dyDescent="0.25">
      <c r="A19" s="31" t="s">
        <v>59</v>
      </c>
      <c r="B19" s="31"/>
      <c r="C19" s="31"/>
      <c r="D19" s="31"/>
      <c r="E19" s="31"/>
      <c r="F19" s="22">
        <v>46087</v>
      </c>
      <c r="G19" s="22"/>
    </row>
    <row r="20" spans="1:7" x14ac:dyDescent="0.25">
      <c r="A20" s="8" t="s">
        <v>22</v>
      </c>
      <c r="B20" s="9" t="s">
        <v>1</v>
      </c>
      <c r="C20" s="19" t="s">
        <v>15</v>
      </c>
      <c r="D20" s="19" t="s">
        <v>16</v>
      </c>
      <c r="E20" s="19" t="s">
        <v>60</v>
      </c>
      <c r="F20" s="19" t="s">
        <v>61</v>
      </c>
    </row>
    <row r="21" spans="1:7" x14ac:dyDescent="0.25">
      <c r="A21" s="10">
        <v>1</v>
      </c>
      <c r="B21" s="11" t="s">
        <v>2</v>
      </c>
      <c r="C21" s="20"/>
      <c r="D21" s="20"/>
      <c r="E21" s="20"/>
      <c r="F21" s="20"/>
    </row>
    <row r="22" spans="1:7" x14ac:dyDescent="0.25">
      <c r="A22" s="12">
        <v>2</v>
      </c>
      <c r="B22" s="13" t="s">
        <v>3</v>
      </c>
      <c r="C22" s="21"/>
      <c r="D22" s="21"/>
      <c r="E22" s="21"/>
      <c r="F22" s="21"/>
    </row>
    <row r="23" spans="1:7" x14ac:dyDescent="0.25">
      <c r="A23" s="10">
        <v>3</v>
      </c>
      <c r="B23" s="11" t="s">
        <v>4</v>
      </c>
      <c r="C23" s="20"/>
      <c r="D23" s="20"/>
      <c r="E23" s="20"/>
      <c r="F23" s="20"/>
    </row>
    <row r="24" spans="1:7" x14ac:dyDescent="0.25">
      <c r="A24" s="12">
        <v>4</v>
      </c>
      <c r="B24" s="13" t="s">
        <v>5</v>
      </c>
      <c r="C24" s="21"/>
      <c r="D24" s="21"/>
      <c r="E24" s="21"/>
      <c r="F24" s="21"/>
    </row>
    <row r="25" spans="1:7" x14ac:dyDescent="0.25">
      <c r="A25" s="10">
        <v>5</v>
      </c>
      <c r="B25" s="11" t="s">
        <v>6</v>
      </c>
      <c r="C25" s="20"/>
      <c r="D25" s="20"/>
      <c r="E25" s="20"/>
      <c r="F25" s="20"/>
    </row>
    <row r="26" spans="1:7" x14ac:dyDescent="0.25">
      <c r="A26" s="12">
        <v>6</v>
      </c>
      <c r="B26" s="13" t="s">
        <v>7</v>
      </c>
      <c r="C26" s="21"/>
      <c r="D26" s="21"/>
      <c r="E26" s="21"/>
      <c r="F26" s="21"/>
    </row>
    <row r="27" spans="1:7" x14ac:dyDescent="0.25">
      <c r="A27" s="10">
        <v>7</v>
      </c>
      <c r="B27" s="11" t="s">
        <v>8</v>
      </c>
      <c r="C27" s="20"/>
      <c r="D27" s="20"/>
      <c r="E27" s="20"/>
      <c r="F27" s="20"/>
    </row>
    <row r="28" spans="1:7" x14ac:dyDescent="0.25">
      <c r="A28" s="12">
        <v>8</v>
      </c>
      <c r="B28" s="13" t="s">
        <v>9</v>
      </c>
      <c r="C28" s="21"/>
      <c r="D28" s="21"/>
      <c r="E28" s="21"/>
      <c r="F28" s="21"/>
    </row>
    <row r="29" spans="1:7" x14ac:dyDescent="0.25">
      <c r="A29" s="10">
        <v>9</v>
      </c>
      <c r="B29" s="11" t="s">
        <v>10</v>
      </c>
      <c r="C29" s="20"/>
      <c r="D29" s="20"/>
      <c r="E29" s="20"/>
      <c r="F29" s="20"/>
    </row>
    <row r="30" spans="1:7" x14ac:dyDescent="0.25">
      <c r="A30" s="10">
        <v>11</v>
      </c>
      <c r="B30" s="11" t="s">
        <v>12</v>
      </c>
      <c r="C30" s="20"/>
      <c r="D30" s="20"/>
      <c r="E30" s="20"/>
      <c r="F30" s="20"/>
    </row>
    <row r="31" spans="1:7" x14ac:dyDescent="0.25">
      <c r="A31" s="12">
        <v>12</v>
      </c>
      <c r="B31" s="13" t="s">
        <v>19</v>
      </c>
      <c r="C31" s="21"/>
      <c r="D31" s="21"/>
      <c r="E31" s="21"/>
      <c r="F31" s="21"/>
    </row>
    <row r="32" spans="1:7" x14ac:dyDescent="0.25">
      <c r="A32" t="s">
        <v>55</v>
      </c>
    </row>
    <row r="33" spans="1:2" x14ac:dyDescent="0.25">
      <c r="A33" t="s">
        <v>55</v>
      </c>
    </row>
    <row r="34" spans="1:2" hidden="1" x14ac:dyDescent="0.25"/>
    <row r="35" spans="1:2" hidden="1" x14ac:dyDescent="0.25"/>
    <row r="40" spans="1:2" x14ac:dyDescent="0.25">
      <c r="A40" s="3" t="s">
        <v>43</v>
      </c>
      <c r="B40" s="4" t="s">
        <v>64</v>
      </c>
    </row>
    <row r="41" spans="1:2" x14ac:dyDescent="0.25">
      <c r="A41" s="5" t="s">
        <v>6</v>
      </c>
      <c r="B41" s="6">
        <v>40</v>
      </c>
    </row>
    <row r="42" spans="1:2" x14ac:dyDescent="0.25">
      <c r="A42" s="5" t="s">
        <v>2</v>
      </c>
      <c r="B42" s="6">
        <v>40</v>
      </c>
    </row>
    <row r="43" spans="1:2" x14ac:dyDescent="0.25">
      <c r="A43" s="5" t="s">
        <v>3</v>
      </c>
      <c r="B43" s="6">
        <v>40</v>
      </c>
    </row>
    <row r="44" spans="1:2" x14ac:dyDescent="0.25">
      <c r="A44" s="5" t="s">
        <v>7</v>
      </c>
      <c r="B44" s="6">
        <v>40</v>
      </c>
    </row>
    <row r="45" spans="1:2" x14ac:dyDescent="0.25">
      <c r="A45" s="5" t="s">
        <v>4</v>
      </c>
      <c r="B45" s="6">
        <v>30</v>
      </c>
    </row>
    <row r="46" spans="1:2" x14ac:dyDescent="0.25">
      <c r="A46" s="5" t="s">
        <v>9</v>
      </c>
      <c r="B46" s="6">
        <v>30</v>
      </c>
    </row>
    <row r="47" spans="1:2" x14ac:dyDescent="0.25">
      <c r="A47" s="5" t="s">
        <v>12</v>
      </c>
      <c r="B47" s="6">
        <v>30</v>
      </c>
    </row>
    <row r="48" spans="1:2" x14ac:dyDescent="0.25">
      <c r="A48" s="5" t="s">
        <v>8</v>
      </c>
      <c r="B48" s="6">
        <v>20</v>
      </c>
    </row>
    <row r="49" spans="1:4" x14ac:dyDescent="0.25">
      <c r="A49" s="5" t="s">
        <v>19</v>
      </c>
      <c r="B49" s="6">
        <v>10</v>
      </c>
    </row>
    <row r="50" spans="1:4" x14ac:dyDescent="0.25">
      <c r="A50" s="5" t="s">
        <v>18</v>
      </c>
      <c r="B50" s="6">
        <v>280</v>
      </c>
    </row>
    <row r="51" spans="1:4" x14ac:dyDescent="0.25">
      <c r="A51" s="23" t="s">
        <v>55</v>
      </c>
    </row>
    <row r="52" spans="1:4" x14ac:dyDescent="0.25">
      <c r="A52" s="23" t="s">
        <v>55</v>
      </c>
    </row>
    <row r="53" spans="1:4" x14ac:dyDescent="0.25">
      <c r="A53" s="23" t="s">
        <v>55</v>
      </c>
    </row>
    <row r="54" spans="1:4" x14ac:dyDescent="0.25">
      <c r="A54" s="28" t="s">
        <v>77</v>
      </c>
      <c r="C54" s="1"/>
      <c r="D54" s="1">
        <v>900</v>
      </c>
    </row>
    <row r="55" spans="1:4" x14ac:dyDescent="0.25">
      <c r="A55" s="24" t="s">
        <v>68</v>
      </c>
      <c r="B55" s="29">
        <v>0.15</v>
      </c>
      <c r="C55" s="1">
        <f>ROUND($D$54*B55,0)</f>
        <v>135</v>
      </c>
      <c r="D55" s="1"/>
    </row>
    <row r="56" spans="1:4" x14ac:dyDescent="0.25">
      <c r="A56" s="24" t="s">
        <v>67</v>
      </c>
      <c r="B56" s="29">
        <v>0.25</v>
      </c>
      <c r="C56" s="1">
        <f t="shared" ref="C56:C64" si="0">ROUND($D$54*B56,0)</f>
        <v>225</v>
      </c>
      <c r="D56" s="1"/>
    </row>
    <row r="57" spans="1:4" x14ac:dyDescent="0.25">
      <c r="A57" s="15" t="s">
        <v>69</v>
      </c>
      <c r="B57" s="29">
        <v>0.15</v>
      </c>
      <c r="C57" s="1">
        <f t="shared" si="0"/>
        <v>135</v>
      </c>
      <c r="D57" s="1"/>
    </row>
    <row r="58" spans="1:4" x14ac:dyDescent="0.25">
      <c r="A58" s="15" t="s">
        <v>70</v>
      </c>
      <c r="B58" s="29">
        <v>0.12</v>
      </c>
      <c r="C58" s="1">
        <f t="shared" si="0"/>
        <v>108</v>
      </c>
      <c r="D58" s="1"/>
    </row>
    <row r="59" spans="1:4" x14ac:dyDescent="0.25">
      <c r="A59" s="15" t="s">
        <v>71</v>
      </c>
      <c r="B59" s="29">
        <v>0.08</v>
      </c>
      <c r="C59" s="1">
        <f t="shared" si="0"/>
        <v>72</v>
      </c>
      <c r="D59" s="1"/>
    </row>
    <row r="60" spans="1:4" x14ac:dyDescent="0.25">
      <c r="A60" s="15" t="s">
        <v>72</v>
      </c>
      <c r="B60" s="29">
        <v>7.0000000000000007E-2</v>
      </c>
      <c r="C60" s="1">
        <f t="shared" si="0"/>
        <v>63</v>
      </c>
      <c r="D60" s="1"/>
    </row>
    <row r="61" spans="1:4" x14ac:dyDescent="0.25">
      <c r="A61" s="15" t="s">
        <v>73</v>
      </c>
      <c r="B61" s="29">
        <v>0.06</v>
      </c>
      <c r="C61" s="1">
        <f t="shared" si="0"/>
        <v>54</v>
      </c>
      <c r="D61" s="1"/>
    </row>
    <row r="62" spans="1:4" x14ac:dyDescent="0.25">
      <c r="A62" s="15" t="s">
        <v>74</v>
      </c>
      <c r="B62" s="29">
        <v>0.05</v>
      </c>
      <c r="C62" s="1">
        <f t="shared" si="0"/>
        <v>45</v>
      </c>
      <c r="D62" s="1"/>
    </row>
    <row r="63" spans="1:4" x14ac:dyDescent="0.25">
      <c r="A63" s="15" t="s">
        <v>75</v>
      </c>
      <c r="B63" s="29">
        <v>0.04</v>
      </c>
      <c r="C63" s="1">
        <f t="shared" si="0"/>
        <v>36</v>
      </c>
      <c r="D63" s="1"/>
    </row>
    <row r="64" spans="1:4" x14ac:dyDescent="0.25">
      <c r="A64" s="15" t="s">
        <v>76</v>
      </c>
      <c r="B64" s="29">
        <v>0.03</v>
      </c>
      <c r="C64" s="1">
        <f t="shared" si="0"/>
        <v>27</v>
      </c>
      <c r="D64" s="1"/>
    </row>
    <row r="65" spans="1:4" ht="15.75" thickBot="1" x14ac:dyDescent="0.3">
      <c r="A65" s="25" t="s">
        <v>20</v>
      </c>
      <c r="B65" s="26">
        <f>SUM(B55:B64)</f>
        <v>1.0000000000000002</v>
      </c>
      <c r="C65" s="27">
        <f>SUM(C54:C64)</f>
        <v>900</v>
      </c>
      <c r="D65" s="27">
        <f>SUM(D54:D64)</f>
        <v>900</v>
      </c>
    </row>
    <row r="66" spans="1:4" ht="15.75" thickTop="1" x14ac:dyDescent="0.25"/>
  </sheetData>
  <mergeCells count="2">
    <mergeCell ref="A1:N1"/>
    <mergeCell ref="A19:E19"/>
  </mergeCells>
  <phoneticPr fontId="1" type="noConversion"/>
  <pageMargins left="0.31496062992125984" right="0.31496062992125984" top="0.74803149606299213" bottom="0.74803149606299213" header="0.31496062992125984" footer="0.31496062992125984"/>
  <pageSetup orientation="landscape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2B6A9-85EE-45F8-A59D-4AA75E65DA90}">
  <dimension ref="A1:B13"/>
  <sheetViews>
    <sheetView workbookViewId="0">
      <selection activeCell="B10" sqref="B10"/>
    </sheetView>
  </sheetViews>
  <sheetFormatPr defaultRowHeight="15" x14ac:dyDescent="0.25"/>
  <cols>
    <col min="1" max="1" width="12.28515625" bestFit="1" customWidth="1"/>
    <col min="2" max="2" width="18" bestFit="1" customWidth="1"/>
  </cols>
  <sheetData>
    <row r="1" spans="1:2" x14ac:dyDescent="0.25">
      <c r="A1" t="s">
        <v>22</v>
      </c>
      <c r="B1" t="s">
        <v>39</v>
      </c>
    </row>
    <row r="2" spans="1:2" x14ac:dyDescent="0.25">
      <c r="A2">
        <v>1</v>
      </c>
      <c r="B2" t="s">
        <v>2</v>
      </c>
    </row>
    <row r="3" spans="1:2" x14ac:dyDescent="0.25">
      <c r="A3">
        <v>2</v>
      </c>
      <c r="B3" t="s">
        <v>3</v>
      </c>
    </row>
    <row r="4" spans="1:2" x14ac:dyDescent="0.25">
      <c r="A4">
        <v>3</v>
      </c>
      <c r="B4" t="s">
        <v>4</v>
      </c>
    </row>
    <row r="5" spans="1:2" x14ac:dyDescent="0.25">
      <c r="A5">
        <v>4</v>
      </c>
      <c r="B5" t="s">
        <v>5</v>
      </c>
    </row>
    <row r="6" spans="1:2" x14ac:dyDescent="0.25">
      <c r="A6">
        <v>5</v>
      </c>
      <c r="B6" t="s">
        <v>6</v>
      </c>
    </row>
    <row r="7" spans="1:2" x14ac:dyDescent="0.25">
      <c r="A7">
        <v>6</v>
      </c>
      <c r="B7" t="s">
        <v>7</v>
      </c>
    </row>
    <row r="8" spans="1:2" x14ac:dyDescent="0.25">
      <c r="A8">
        <v>7</v>
      </c>
      <c r="B8" t="s">
        <v>8</v>
      </c>
    </row>
    <row r="9" spans="1:2" x14ac:dyDescent="0.25">
      <c r="A9">
        <v>8</v>
      </c>
      <c r="B9" t="s">
        <v>9</v>
      </c>
    </row>
    <row r="10" spans="1:2" x14ac:dyDescent="0.25">
      <c r="A10">
        <v>9</v>
      </c>
      <c r="B10" t="s">
        <v>10</v>
      </c>
    </row>
    <row r="11" spans="1:2" x14ac:dyDescent="0.25">
      <c r="A11">
        <v>10</v>
      </c>
      <c r="B11" t="s">
        <v>11</v>
      </c>
    </row>
    <row r="12" spans="1:2" x14ac:dyDescent="0.25">
      <c r="A12">
        <v>11</v>
      </c>
      <c r="B12" t="s">
        <v>12</v>
      </c>
    </row>
    <row r="13" spans="1:2" x14ac:dyDescent="0.25">
      <c r="A13">
        <v>12</v>
      </c>
      <c r="B13" t="s">
        <v>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CEAE2-1D7A-4B1E-8DB2-B3DE34E19D94}">
  <dimension ref="A1:D13"/>
  <sheetViews>
    <sheetView workbookViewId="0">
      <selection sqref="A1:D13"/>
    </sheetView>
  </sheetViews>
  <sheetFormatPr defaultRowHeight="15" x14ac:dyDescent="0.25"/>
  <cols>
    <col min="1" max="1" width="11.42578125" bestFit="1" customWidth="1"/>
    <col min="2" max="2" width="13.7109375" bestFit="1" customWidth="1"/>
    <col min="3" max="3" width="17.5703125" bestFit="1" customWidth="1"/>
    <col min="4" max="4" width="26.28515625" bestFit="1" customWidth="1"/>
  </cols>
  <sheetData>
    <row r="1" spans="1:4" x14ac:dyDescent="0.25">
      <c r="A1" t="s">
        <v>21</v>
      </c>
      <c r="B1" t="s">
        <v>13</v>
      </c>
      <c r="C1" t="s">
        <v>40</v>
      </c>
      <c r="D1" t="s">
        <v>41</v>
      </c>
    </row>
    <row r="2" spans="1:4" x14ac:dyDescent="0.25">
      <c r="A2">
        <v>1</v>
      </c>
      <c r="B2" s="2">
        <v>45681</v>
      </c>
      <c r="C2">
        <v>6</v>
      </c>
      <c r="D2" s="33" t="s">
        <v>7</v>
      </c>
    </row>
    <row r="3" spans="1:4" x14ac:dyDescent="0.25">
      <c r="A3">
        <v>2</v>
      </c>
      <c r="B3" s="2">
        <v>45709</v>
      </c>
      <c r="C3">
        <v>1</v>
      </c>
      <c r="D3" s="33" t="s">
        <v>2</v>
      </c>
    </row>
    <row r="4" spans="1:4" x14ac:dyDescent="0.25">
      <c r="A4">
        <v>3</v>
      </c>
      <c r="B4" s="2">
        <v>45730</v>
      </c>
      <c r="C4">
        <v>4</v>
      </c>
      <c r="D4" s="33" t="s">
        <v>5</v>
      </c>
    </row>
    <row r="5" spans="1:4" x14ac:dyDescent="0.25">
      <c r="A5">
        <v>4</v>
      </c>
      <c r="B5" s="2">
        <v>45765</v>
      </c>
      <c r="C5">
        <v>5</v>
      </c>
      <c r="D5" s="33" t="s">
        <v>6</v>
      </c>
    </row>
    <row r="6" spans="1:4" x14ac:dyDescent="0.25">
      <c r="A6">
        <v>5</v>
      </c>
      <c r="B6" s="2">
        <v>45954</v>
      </c>
      <c r="C6">
        <v>5</v>
      </c>
      <c r="D6" s="33" t="s">
        <v>6</v>
      </c>
    </row>
    <row r="7" spans="1:4" x14ac:dyDescent="0.25">
      <c r="A7">
        <v>6</v>
      </c>
      <c r="B7" s="2">
        <v>45982</v>
      </c>
      <c r="C7">
        <v>1</v>
      </c>
      <c r="D7" s="33" t="s">
        <v>2</v>
      </c>
    </row>
    <row r="8" spans="1:4" x14ac:dyDescent="0.25">
      <c r="A8">
        <v>7</v>
      </c>
      <c r="B8" s="2">
        <v>46010</v>
      </c>
      <c r="C8">
        <v>6</v>
      </c>
      <c r="D8" s="33" t="s">
        <v>7</v>
      </c>
    </row>
    <row r="9" spans="1:4" x14ac:dyDescent="0.25">
      <c r="A9">
        <v>8</v>
      </c>
      <c r="B9" s="2">
        <v>46024</v>
      </c>
      <c r="C9">
        <v>3</v>
      </c>
      <c r="D9" s="33" t="s">
        <v>4</v>
      </c>
    </row>
    <row r="10" spans="1:4" x14ac:dyDescent="0.25">
      <c r="A10">
        <v>9</v>
      </c>
      <c r="B10" s="2">
        <v>46045</v>
      </c>
      <c r="C10">
        <v>2</v>
      </c>
      <c r="D10" s="33" t="s">
        <v>3</v>
      </c>
    </row>
    <row r="11" spans="1:4" x14ac:dyDescent="0.25">
      <c r="A11">
        <v>10</v>
      </c>
      <c r="B11" s="2">
        <v>46066</v>
      </c>
      <c r="C11">
        <v>1</v>
      </c>
      <c r="D11" s="33" t="s">
        <v>2</v>
      </c>
    </row>
    <row r="12" spans="1:4" x14ac:dyDescent="0.25">
      <c r="A12">
        <v>11</v>
      </c>
      <c r="B12" s="2">
        <v>46087</v>
      </c>
      <c r="C12">
        <v>5</v>
      </c>
      <c r="D12" s="33" t="s">
        <v>6</v>
      </c>
    </row>
    <row r="13" spans="1:4" x14ac:dyDescent="0.25">
      <c r="A13">
        <v>12</v>
      </c>
      <c r="B13" s="2">
        <v>46115</v>
      </c>
      <c r="C13">
        <v>2</v>
      </c>
      <c r="D13" s="33" t="s">
        <v>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B2868-8157-4244-89AB-2CF20AECC1A9}">
  <dimension ref="A1:L40"/>
  <sheetViews>
    <sheetView topLeftCell="A13" workbookViewId="0">
      <selection activeCell="C41" sqref="C41"/>
    </sheetView>
  </sheetViews>
  <sheetFormatPr defaultRowHeight="15" x14ac:dyDescent="0.25"/>
  <cols>
    <col min="1" max="1" width="11.42578125" bestFit="1" customWidth="1"/>
    <col min="2" max="2" width="12.28515625" bestFit="1" customWidth="1"/>
    <col min="3" max="3" width="26.28515625" bestFit="1" customWidth="1"/>
    <col min="4" max="4" width="9.140625" bestFit="1" customWidth="1"/>
    <col min="5" max="5" width="9" bestFit="1" customWidth="1"/>
    <col min="6" max="6" width="11.140625" bestFit="1" customWidth="1"/>
    <col min="7" max="7" width="16" bestFit="1" customWidth="1"/>
    <col min="8" max="8" width="7.28515625" bestFit="1" customWidth="1"/>
    <col min="11" max="11" width="18" bestFit="1" customWidth="1"/>
    <col min="12" max="12" width="23.85546875" bestFit="1" customWidth="1"/>
  </cols>
  <sheetData>
    <row r="1" spans="1:12" x14ac:dyDescent="0.25">
      <c r="A1" t="s">
        <v>21</v>
      </c>
      <c r="B1" t="s">
        <v>22</v>
      </c>
      <c r="C1" t="s">
        <v>41</v>
      </c>
      <c r="D1" t="s">
        <v>15</v>
      </c>
      <c r="E1" t="s">
        <v>16</v>
      </c>
      <c r="F1" t="s">
        <v>17</v>
      </c>
      <c r="G1" t="s">
        <v>42</v>
      </c>
      <c r="H1" t="s">
        <v>37</v>
      </c>
      <c r="K1" s="32" t="s">
        <v>42</v>
      </c>
      <c r="L1" s="32"/>
    </row>
    <row r="2" spans="1:12" x14ac:dyDescent="0.25">
      <c r="A2">
        <v>8</v>
      </c>
      <c r="B2">
        <v>1</v>
      </c>
      <c r="C2" s="33" t="s">
        <v>2</v>
      </c>
      <c r="D2" s="1">
        <v>30</v>
      </c>
      <c r="E2" s="1">
        <v>20</v>
      </c>
      <c r="F2" s="1">
        <v>0</v>
      </c>
      <c r="G2">
        <v>0</v>
      </c>
      <c r="H2" s="1">
        <v>-50</v>
      </c>
      <c r="K2" s="3" t="s">
        <v>36</v>
      </c>
      <c r="L2" s="4" t="s">
        <v>44</v>
      </c>
    </row>
    <row r="3" spans="1:12" x14ac:dyDescent="0.25">
      <c r="A3">
        <v>8</v>
      </c>
      <c r="B3">
        <v>2</v>
      </c>
      <c r="C3" s="33" t="s">
        <v>3</v>
      </c>
      <c r="D3" s="1">
        <v>30</v>
      </c>
      <c r="E3" s="1">
        <v>20</v>
      </c>
      <c r="F3" s="1">
        <v>45</v>
      </c>
      <c r="G3">
        <v>2250</v>
      </c>
      <c r="H3" s="1">
        <v>-5</v>
      </c>
      <c r="K3" s="5" t="s">
        <v>7</v>
      </c>
      <c r="L3" s="7">
        <v>20500</v>
      </c>
    </row>
    <row r="4" spans="1:12" x14ac:dyDescent="0.25">
      <c r="A4">
        <v>8</v>
      </c>
      <c r="B4">
        <v>3</v>
      </c>
      <c r="C4" s="33" t="s">
        <v>4</v>
      </c>
      <c r="D4" s="1">
        <v>30</v>
      </c>
      <c r="E4" s="1">
        <v>20</v>
      </c>
      <c r="F4" s="1">
        <v>25</v>
      </c>
      <c r="G4">
        <v>1250</v>
      </c>
      <c r="H4" s="1">
        <v>-25</v>
      </c>
      <c r="K4" s="5" t="s">
        <v>6</v>
      </c>
      <c r="L4" s="7">
        <v>13750</v>
      </c>
    </row>
    <row r="5" spans="1:12" x14ac:dyDescent="0.25">
      <c r="A5">
        <v>8</v>
      </c>
      <c r="B5">
        <v>5</v>
      </c>
      <c r="C5" s="33" t="s">
        <v>6</v>
      </c>
      <c r="D5" s="1">
        <v>30</v>
      </c>
      <c r="E5" s="1">
        <v>20</v>
      </c>
      <c r="F5" s="1">
        <v>115</v>
      </c>
      <c r="G5">
        <v>5750</v>
      </c>
      <c r="H5" s="1">
        <v>65</v>
      </c>
      <c r="K5" s="5" t="s">
        <v>3</v>
      </c>
      <c r="L5" s="7">
        <v>13750</v>
      </c>
    </row>
    <row r="6" spans="1:12" x14ac:dyDescent="0.25">
      <c r="A6">
        <v>8</v>
      </c>
      <c r="B6">
        <v>6</v>
      </c>
      <c r="C6" s="33" t="s">
        <v>7</v>
      </c>
      <c r="D6" s="1">
        <v>30</v>
      </c>
      <c r="E6" s="1">
        <v>20</v>
      </c>
      <c r="F6" s="1">
        <v>140</v>
      </c>
      <c r="G6">
        <v>7000</v>
      </c>
      <c r="H6" s="1">
        <v>90</v>
      </c>
      <c r="K6" s="5" t="s">
        <v>4</v>
      </c>
      <c r="L6" s="7">
        <v>11000</v>
      </c>
    </row>
    <row r="7" spans="1:12" x14ac:dyDescent="0.25">
      <c r="A7">
        <v>8</v>
      </c>
      <c r="B7">
        <v>7</v>
      </c>
      <c r="C7" s="33" t="s">
        <v>8</v>
      </c>
      <c r="D7" s="1">
        <v>30</v>
      </c>
      <c r="E7" s="1">
        <v>20</v>
      </c>
      <c r="F7" s="1">
        <v>50</v>
      </c>
      <c r="G7">
        <v>2500</v>
      </c>
      <c r="H7" s="1">
        <v>0</v>
      </c>
      <c r="K7" s="5" t="s">
        <v>12</v>
      </c>
      <c r="L7" s="7">
        <v>10000</v>
      </c>
    </row>
    <row r="8" spans="1:12" x14ac:dyDescent="0.25">
      <c r="A8">
        <v>8</v>
      </c>
      <c r="B8">
        <v>11</v>
      </c>
      <c r="C8" s="33" t="s">
        <v>12</v>
      </c>
      <c r="D8" s="1">
        <v>30</v>
      </c>
      <c r="E8" s="1">
        <v>20</v>
      </c>
      <c r="F8" s="1">
        <v>0</v>
      </c>
      <c r="G8">
        <v>0</v>
      </c>
      <c r="H8" s="1">
        <v>-50</v>
      </c>
      <c r="K8" s="5" t="s">
        <v>2</v>
      </c>
      <c r="L8" s="7">
        <v>8750</v>
      </c>
    </row>
    <row r="9" spans="1:12" x14ac:dyDescent="0.25">
      <c r="A9">
        <v>8</v>
      </c>
      <c r="B9">
        <v>12</v>
      </c>
      <c r="C9" s="33" t="s">
        <v>19</v>
      </c>
      <c r="D9" s="1">
        <v>30</v>
      </c>
      <c r="E9" s="1">
        <v>20</v>
      </c>
      <c r="F9" s="1">
        <v>25</v>
      </c>
      <c r="G9">
        <v>1250</v>
      </c>
      <c r="H9" s="1">
        <v>-25</v>
      </c>
      <c r="K9" s="5" t="s">
        <v>9</v>
      </c>
      <c r="L9" s="7">
        <v>8500</v>
      </c>
    </row>
    <row r="10" spans="1:12" x14ac:dyDescent="0.25">
      <c r="A10">
        <v>9</v>
      </c>
      <c r="B10">
        <v>1</v>
      </c>
      <c r="C10" s="33" t="s">
        <v>2</v>
      </c>
      <c r="D10" s="1">
        <v>30</v>
      </c>
      <c r="E10" s="1">
        <v>20</v>
      </c>
      <c r="F10" s="1">
        <v>45</v>
      </c>
      <c r="G10">
        <v>2250</v>
      </c>
      <c r="H10" s="1">
        <v>-5</v>
      </c>
      <c r="K10" s="5" t="s">
        <v>8</v>
      </c>
      <c r="L10" s="7">
        <v>7750</v>
      </c>
    </row>
    <row r="11" spans="1:12" x14ac:dyDescent="0.25">
      <c r="A11">
        <v>9</v>
      </c>
      <c r="B11">
        <v>2</v>
      </c>
      <c r="C11" s="33" t="s">
        <v>3</v>
      </c>
      <c r="D11" s="1">
        <v>30</v>
      </c>
      <c r="E11" s="1">
        <v>20</v>
      </c>
      <c r="F11" s="1">
        <v>65</v>
      </c>
      <c r="G11">
        <v>3250</v>
      </c>
      <c r="H11" s="1">
        <v>15</v>
      </c>
      <c r="K11" s="5" t="s">
        <v>19</v>
      </c>
      <c r="L11" s="7">
        <v>1250</v>
      </c>
    </row>
    <row r="12" spans="1:12" x14ac:dyDescent="0.25">
      <c r="A12">
        <v>9</v>
      </c>
      <c r="B12">
        <v>3</v>
      </c>
      <c r="C12" s="33" t="s">
        <v>4</v>
      </c>
      <c r="D12" s="1">
        <v>30</v>
      </c>
      <c r="E12" s="1">
        <v>20</v>
      </c>
      <c r="F12" s="1">
        <v>25</v>
      </c>
      <c r="G12">
        <v>1250</v>
      </c>
      <c r="H12" s="1">
        <v>-25</v>
      </c>
      <c r="K12" s="5" t="s">
        <v>5</v>
      </c>
      <c r="L12" s="7">
        <v>0</v>
      </c>
    </row>
    <row r="13" spans="1:12" x14ac:dyDescent="0.25">
      <c r="A13">
        <v>9</v>
      </c>
      <c r="B13">
        <v>5</v>
      </c>
      <c r="C13" s="33" t="s">
        <v>6</v>
      </c>
      <c r="D13" s="1">
        <v>30</v>
      </c>
      <c r="E13" s="1">
        <v>20</v>
      </c>
      <c r="F13" s="1">
        <v>50</v>
      </c>
      <c r="G13">
        <v>2500</v>
      </c>
      <c r="H13" s="1">
        <v>0</v>
      </c>
      <c r="K13" s="5" t="s">
        <v>18</v>
      </c>
      <c r="L13" s="7">
        <v>95250</v>
      </c>
    </row>
    <row r="14" spans="1:12" x14ac:dyDescent="0.25">
      <c r="A14">
        <v>9</v>
      </c>
      <c r="B14">
        <v>6</v>
      </c>
      <c r="C14" s="33" t="s">
        <v>7</v>
      </c>
      <c r="D14" s="1">
        <v>30</v>
      </c>
      <c r="E14" s="1">
        <v>20</v>
      </c>
      <c r="F14" s="1">
        <v>0</v>
      </c>
      <c r="G14">
        <v>0</v>
      </c>
      <c r="H14" s="1">
        <v>-50</v>
      </c>
    </row>
    <row r="15" spans="1:12" x14ac:dyDescent="0.25">
      <c r="A15">
        <v>9</v>
      </c>
      <c r="B15">
        <v>8</v>
      </c>
      <c r="C15" s="33" t="s">
        <v>9</v>
      </c>
      <c r="D15" s="1">
        <v>30</v>
      </c>
      <c r="E15" s="1">
        <v>20</v>
      </c>
      <c r="F15" s="1">
        <v>105</v>
      </c>
      <c r="G15">
        <v>5250</v>
      </c>
      <c r="H15" s="1">
        <v>55</v>
      </c>
    </row>
    <row r="16" spans="1:12" x14ac:dyDescent="0.25">
      <c r="A16">
        <v>9</v>
      </c>
      <c r="B16">
        <v>11</v>
      </c>
      <c r="C16" s="33" t="s">
        <v>12</v>
      </c>
      <c r="D16" s="1">
        <v>30</v>
      </c>
      <c r="E16" s="1">
        <v>20</v>
      </c>
      <c r="F16" s="1">
        <v>60</v>
      </c>
      <c r="G16">
        <v>3000</v>
      </c>
      <c r="H16" s="1">
        <v>10</v>
      </c>
    </row>
    <row r="17" spans="1:12" x14ac:dyDescent="0.25">
      <c r="A17">
        <v>10</v>
      </c>
      <c r="B17">
        <v>1</v>
      </c>
      <c r="C17" s="33" t="s">
        <v>2</v>
      </c>
      <c r="D17" s="1">
        <v>30</v>
      </c>
      <c r="E17" s="1">
        <v>20</v>
      </c>
      <c r="F17" s="1">
        <v>10</v>
      </c>
      <c r="G17">
        <v>500</v>
      </c>
      <c r="H17" s="1">
        <v>-40</v>
      </c>
      <c r="K17" s="32" t="s">
        <v>46</v>
      </c>
      <c r="L17" s="32"/>
    </row>
    <row r="18" spans="1:12" x14ac:dyDescent="0.25">
      <c r="A18">
        <v>10</v>
      </c>
      <c r="B18">
        <v>2</v>
      </c>
      <c r="C18" s="33" t="s">
        <v>3</v>
      </c>
      <c r="D18" s="1">
        <v>30</v>
      </c>
      <c r="E18" s="1">
        <v>20</v>
      </c>
      <c r="F18" s="1">
        <v>25</v>
      </c>
      <c r="G18">
        <v>1250</v>
      </c>
      <c r="H18" s="1">
        <v>-25</v>
      </c>
      <c r="K18" s="3" t="s">
        <v>36</v>
      </c>
      <c r="L18" s="4" t="s">
        <v>45</v>
      </c>
    </row>
    <row r="19" spans="1:12" x14ac:dyDescent="0.25">
      <c r="A19">
        <v>10</v>
      </c>
      <c r="B19">
        <v>3</v>
      </c>
      <c r="C19" s="33" t="s">
        <v>4</v>
      </c>
      <c r="D19" s="1">
        <v>30</v>
      </c>
      <c r="E19" s="1">
        <v>20</v>
      </c>
      <c r="F19" s="1">
        <v>80</v>
      </c>
      <c r="G19">
        <v>4000</v>
      </c>
      <c r="H19" s="1">
        <v>30</v>
      </c>
      <c r="K19" s="5" t="s">
        <v>6</v>
      </c>
      <c r="L19" s="35">
        <v>3</v>
      </c>
    </row>
    <row r="20" spans="1:12" x14ac:dyDescent="0.25">
      <c r="A20">
        <v>10</v>
      </c>
      <c r="B20">
        <v>5</v>
      </c>
      <c r="C20" s="33" t="s">
        <v>6</v>
      </c>
      <c r="D20" s="1">
        <v>30</v>
      </c>
      <c r="E20" s="1">
        <v>20</v>
      </c>
      <c r="F20" s="1">
        <v>35</v>
      </c>
      <c r="G20">
        <v>1750</v>
      </c>
      <c r="H20" s="1">
        <v>-15</v>
      </c>
      <c r="K20" s="5" t="s">
        <v>2</v>
      </c>
      <c r="L20" s="35">
        <v>3</v>
      </c>
    </row>
    <row r="21" spans="1:12" x14ac:dyDescent="0.25">
      <c r="A21">
        <v>10</v>
      </c>
      <c r="B21">
        <v>6</v>
      </c>
      <c r="C21" s="33" t="s">
        <v>7</v>
      </c>
      <c r="D21" s="1">
        <v>30</v>
      </c>
      <c r="E21" s="1">
        <v>20</v>
      </c>
      <c r="F21" s="1">
        <v>85</v>
      </c>
      <c r="G21">
        <v>4250</v>
      </c>
      <c r="H21" s="1">
        <v>35</v>
      </c>
      <c r="K21" s="5" t="s">
        <v>3</v>
      </c>
      <c r="L21" s="35">
        <v>2</v>
      </c>
    </row>
    <row r="22" spans="1:12" x14ac:dyDescent="0.25">
      <c r="A22">
        <v>10</v>
      </c>
      <c r="B22">
        <v>8</v>
      </c>
      <c r="C22" s="33" t="s">
        <v>9</v>
      </c>
      <c r="D22" s="1">
        <v>30</v>
      </c>
      <c r="E22" s="1">
        <v>20</v>
      </c>
      <c r="F22" s="1">
        <v>65</v>
      </c>
      <c r="G22">
        <v>3250</v>
      </c>
      <c r="H22" s="1">
        <v>15</v>
      </c>
      <c r="K22" s="5" t="s">
        <v>7</v>
      </c>
      <c r="L22" s="35">
        <v>2</v>
      </c>
    </row>
    <row r="23" spans="1:12" x14ac:dyDescent="0.25">
      <c r="A23">
        <v>10</v>
      </c>
      <c r="B23">
        <v>11</v>
      </c>
      <c r="C23" s="33" t="s">
        <v>12</v>
      </c>
      <c r="D23" s="1">
        <v>30</v>
      </c>
      <c r="E23" s="1">
        <v>20</v>
      </c>
      <c r="F23" s="1">
        <v>50</v>
      </c>
      <c r="G23">
        <v>2500</v>
      </c>
      <c r="H23" s="1">
        <v>0</v>
      </c>
      <c r="K23" s="5" t="s">
        <v>5</v>
      </c>
      <c r="L23" s="35">
        <v>1</v>
      </c>
    </row>
    <row r="24" spans="1:12" x14ac:dyDescent="0.25">
      <c r="A24">
        <v>11</v>
      </c>
      <c r="B24">
        <v>1</v>
      </c>
      <c r="C24" s="33" t="s">
        <v>2</v>
      </c>
      <c r="D24" s="1">
        <v>30</v>
      </c>
      <c r="E24" s="1">
        <v>20</v>
      </c>
      <c r="F24" s="1">
        <v>55</v>
      </c>
      <c r="G24">
        <v>2750</v>
      </c>
      <c r="H24" s="1">
        <v>5</v>
      </c>
      <c r="K24" s="5" t="s">
        <v>4</v>
      </c>
      <c r="L24" s="35">
        <v>1</v>
      </c>
    </row>
    <row r="25" spans="1:12" x14ac:dyDescent="0.25">
      <c r="A25">
        <v>11</v>
      </c>
      <c r="B25">
        <v>2</v>
      </c>
      <c r="C25" s="33" t="s">
        <v>3</v>
      </c>
      <c r="D25" s="1">
        <v>30</v>
      </c>
      <c r="E25" s="1">
        <v>20</v>
      </c>
      <c r="F25" s="1">
        <v>70</v>
      </c>
      <c r="G25">
        <v>3500</v>
      </c>
      <c r="H25" s="1">
        <v>20</v>
      </c>
      <c r="K25" s="5" t="s">
        <v>18</v>
      </c>
      <c r="L25" s="35">
        <v>12</v>
      </c>
    </row>
    <row r="26" spans="1:12" x14ac:dyDescent="0.25">
      <c r="A26">
        <v>11</v>
      </c>
      <c r="B26">
        <v>3</v>
      </c>
      <c r="C26" s="33" t="s">
        <v>4</v>
      </c>
      <c r="D26" s="1">
        <v>30</v>
      </c>
      <c r="E26" s="1">
        <v>20</v>
      </c>
      <c r="F26" s="1">
        <v>40</v>
      </c>
      <c r="G26">
        <v>2000</v>
      </c>
      <c r="H26" s="1">
        <v>-10</v>
      </c>
    </row>
    <row r="27" spans="1:12" x14ac:dyDescent="0.25">
      <c r="A27">
        <v>11</v>
      </c>
      <c r="B27">
        <v>5</v>
      </c>
      <c r="C27" s="33" t="s">
        <v>6</v>
      </c>
      <c r="D27" s="1">
        <v>30</v>
      </c>
      <c r="E27" s="1">
        <v>20</v>
      </c>
      <c r="F27" s="1">
        <v>30</v>
      </c>
      <c r="G27">
        <v>1500</v>
      </c>
      <c r="H27" s="1">
        <v>-20</v>
      </c>
      <c r="K27" s="32" t="s">
        <v>47</v>
      </c>
      <c r="L27" s="32"/>
    </row>
    <row r="28" spans="1:12" x14ac:dyDescent="0.25">
      <c r="A28">
        <v>11</v>
      </c>
      <c r="B28">
        <v>6</v>
      </c>
      <c r="C28" s="33" t="s">
        <v>7</v>
      </c>
      <c r="D28" s="1">
        <v>30</v>
      </c>
      <c r="E28" s="1">
        <v>20</v>
      </c>
      <c r="F28" s="1">
        <v>60</v>
      </c>
      <c r="G28">
        <v>3000</v>
      </c>
      <c r="H28" s="1">
        <v>10</v>
      </c>
      <c r="K28" s="3" t="s">
        <v>36</v>
      </c>
      <c r="L28" s="4" t="s">
        <v>38</v>
      </c>
    </row>
    <row r="29" spans="1:12" x14ac:dyDescent="0.25">
      <c r="A29">
        <v>11</v>
      </c>
      <c r="B29">
        <v>7</v>
      </c>
      <c r="C29" s="33" t="s">
        <v>8</v>
      </c>
      <c r="D29" s="1">
        <v>30</v>
      </c>
      <c r="E29" s="1">
        <v>20</v>
      </c>
      <c r="F29" s="1">
        <v>55</v>
      </c>
      <c r="G29">
        <v>2750</v>
      </c>
      <c r="H29" s="1">
        <v>5</v>
      </c>
      <c r="K29" s="5" t="s">
        <v>7</v>
      </c>
      <c r="L29" s="34">
        <v>160</v>
      </c>
    </row>
    <row r="30" spans="1:12" x14ac:dyDescent="0.25">
      <c r="A30">
        <v>11</v>
      </c>
      <c r="B30">
        <v>11</v>
      </c>
      <c r="C30" s="33" t="s">
        <v>12</v>
      </c>
      <c r="D30" s="1">
        <v>30</v>
      </c>
      <c r="E30" s="1">
        <v>20</v>
      </c>
      <c r="F30" s="1">
        <v>90</v>
      </c>
      <c r="G30">
        <v>4500</v>
      </c>
      <c r="H30" s="1">
        <v>40</v>
      </c>
      <c r="K30" s="5" t="s">
        <v>6</v>
      </c>
      <c r="L30" s="34">
        <v>25</v>
      </c>
    </row>
    <row r="31" spans="1:12" x14ac:dyDescent="0.25">
      <c r="A31">
        <v>11</v>
      </c>
      <c r="B31">
        <v>12</v>
      </c>
      <c r="C31" s="33" t="s">
        <v>19</v>
      </c>
      <c r="D31" s="1">
        <v>30</v>
      </c>
      <c r="E31" s="1">
        <v>20</v>
      </c>
      <c r="F31" s="1">
        <v>0</v>
      </c>
      <c r="G31">
        <v>0</v>
      </c>
      <c r="H31" s="1">
        <v>-50</v>
      </c>
      <c r="K31" s="5" t="s">
        <v>3</v>
      </c>
      <c r="L31" s="34">
        <v>25</v>
      </c>
    </row>
    <row r="32" spans="1:12" x14ac:dyDescent="0.25">
      <c r="A32">
        <v>12</v>
      </c>
      <c r="B32">
        <v>1</v>
      </c>
      <c r="C32" s="33" t="s">
        <v>2</v>
      </c>
      <c r="D32" s="1">
        <v>30</v>
      </c>
      <c r="E32" s="1">
        <v>20</v>
      </c>
      <c r="F32" s="1">
        <v>65</v>
      </c>
      <c r="G32">
        <v>3250</v>
      </c>
      <c r="H32" s="1">
        <v>15</v>
      </c>
      <c r="K32" s="5" t="s">
        <v>9</v>
      </c>
      <c r="L32" s="34">
        <v>20</v>
      </c>
    </row>
    <row r="33" spans="1:12" x14ac:dyDescent="0.25">
      <c r="A33">
        <v>12</v>
      </c>
      <c r="B33">
        <v>2</v>
      </c>
      <c r="C33" s="33" t="s">
        <v>3</v>
      </c>
      <c r="D33" s="1">
        <v>30</v>
      </c>
      <c r="E33" s="1">
        <v>20</v>
      </c>
      <c r="F33" s="1">
        <v>70</v>
      </c>
      <c r="G33">
        <v>3500</v>
      </c>
      <c r="H33" s="1">
        <v>20</v>
      </c>
      <c r="K33" s="5" t="s">
        <v>8</v>
      </c>
      <c r="L33" s="34">
        <v>5</v>
      </c>
    </row>
    <row r="34" spans="1:12" x14ac:dyDescent="0.25">
      <c r="A34">
        <v>12</v>
      </c>
      <c r="B34">
        <v>3</v>
      </c>
      <c r="C34" s="33" t="s">
        <v>4</v>
      </c>
      <c r="D34" s="1">
        <v>30</v>
      </c>
      <c r="E34" s="1">
        <v>20</v>
      </c>
      <c r="F34" s="1">
        <v>50</v>
      </c>
      <c r="G34">
        <v>2500</v>
      </c>
      <c r="H34" s="1">
        <v>0</v>
      </c>
      <c r="K34" s="5" t="s">
        <v>12</v>
      </c>
      <c r="L34" s="34">
        <v>0</v>
      </c>
    </row>
    <row r="35" spans="1:12" x14ac:dyDescent="0.25">
      <c r="A35">
        <v>12</v>
      </c>
      <c r="B35">
        <v>4</v>
      </c>
      <c r="C35" s="33" t="s">
        <v>5</v>
      </c>
      <c r="D35" s="1">
        <v>30</v>
      </c>
      <c r="E35" s="1">
        <v>20</v>
      </c>
      <c r="F35" s="1">
        <v>0</v>
      </c>
      <c r="G35">
        <v>0</v>
      </c>
      <c r="H35" s="1">
        <v>-50</v>
      </c>
      <c r="K35" s="5" t="s">
        <v>4</v>
      </c>
      <c r="L35" s="34">
        <v>-30</v>
      </c>
    </row>
    <row r="36" spans="1:12" x14ac:dyDescent="0.25">
      <c r="A36">
        <v>12</v>
      </c>
      <c r="B36">
        <v>5</v>
      </c>
      <c r="C36" s="33" t="s">
        <v>6</v>
      </c>
      <c r="D36" s="1">
        <v>30</v>
      </c>
      <c r="E36" s="1">
        <v>20</v>
      </c>
      <c r="F36" s="1">
        <v>45</v>
      </c>
      <c r="G36">
        <v>2250</v>
      </c>
      <c r="H36" s="1">
        <v>-5</v>
      </c>
      <c r="K36" s="5" t="s">
        <v>5</v>
      </c>
      <c r="L36" s="34">
        <v>-50</v>
      </c>
    </row>
    <row r="37" spans="1:12" x14ac:dyDescent="0.25">
      <c r="A37">
        <v>12</v>
      </c>
      <c r="B37">
        <v>6</v>
      </c>
      <c r="C37" s="33" t="s">
        <v>7</v>
      </c>
      <c r="D37" s="1">
        <v>30</v>
      </c>
      <c r="E37" s="1">
        <v>20</v>
      </c>
      <c r="F37" s="1">
        <v>125</v>
      </c>
      <c r="G37">
        <v>6250</v>
      </c>
      <c r="H37" s="1">
        <v>75</v>
      </c>
      <c r="K37" s="5" t="s">
        <v>2</v>
      </c>
      <c r="L37" s="34">
        <v>-75</v>
      </c>
    </row>
    <row r="38" spans="1:12" x14ac:dyDescent="0.25">
      <c r="A38">
        <v>12</v>
      </c>
      <c r="B38">
        <v>7</v>
      </c>
      <c r="C38" s="33" t="s">
        <v>8</v>
      </c>
      <c r="D38" s="1">
        <v>30</v>
      </c>
      <c r="E38" s="1">
        <v>20</v>
      </c>
      <c r="F38" s="1">
        <v>50</v>
      </c>
      <c r="G38">
        <v>2500</v>
      </c>
      <c r="H38" s="1">
        <v>0</v>
      </c>
      <c r="K38" s="5" t="s">
        <v>19</v>
      </c>
      <c r="L38" s="34">
        <v>-75</v>
      </c>
    </row>
    <row r="39" spans="1:12" x14ac:dyDescent="0.25">
      <c r="A39">
        <v>12</v>
      </c>
      <c r="B39">
        <v>8</v>
      </c>
      <c r="C39" s="33" t="s">
        <v>9</v>
      </c>
      <c r="D39" s="1">
        <v>30</v>
      </c>
      <c r="E39" s="1">
        <v>20</v>
      </c>
      <c r="F39" s="1">
        <v>0</v>
      </c>
      <c r="G39">
        <v>0</v>
      </c>
      <c r="H39" s="1">
        <v>-50</v>
      </c>
      <c r="K39" s="5" t="s">
        <v>18</v>
      </c>
      <c r="L39" s="34">
        <v>5</v>
      </c>
    </row>
    <row r="40" spans="1:12" x14ac:dyDescent="0.25">
      <c r="A40" t="s">
        <v>20</v>
      </c>
      <c r="D40" s="1">
        <f>SUBTOTAL(109,qry_Player_Game_Stats_2026[BuyIn])</f>
        <v>1140</v>
      </c>
      <c r="E40" s="1">
        <f>SUBTOTAL(109,qry_Player_Game_Stats_2026[Rebuy])</f>
        <v>760</v>
      </c>
      <c r="F40" s="1">
        <f>SUBTOTAL(109,qry_Player_Game_Stats_2026[CashOut])</f>
        <v>1905</v>
      </c>
      <c r="G40">
        <f>SUBTOTAL(109,qry_Player_Game_Stats_2026[League Points])</f>
        <v>95250</v>
      </c>
      <c r="H40" s="1">
        <f>SUBTOTAL(109,qry_Player_Game_Stats_2026[ROI])</f>
        <v>5</v>
      </c>
    </row>
  </sheetData>
  <mergeCells count="3">
    <mergeCell ref="K1:L1"/>
    <mergeCell ref="K17:L17"/>
    <mergeCell ref="K27:L27"/>
  </mergeCells>
  <pageMargins left="0.7" right="0.7" top="0.75" bottom="0.75" header="0.3" footer="0.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F354-E9A9-4957-A5E1-37479105929E}">
  <dimension ref="A1:E27"/>
  <sheetViews>
    <sheetView workbookViewId="0">
      <selection activeCell="D15" sqref="D15"/>
    </sheetView>
  </sheetViews>
  <sheetFormatPr defaultRowHeight="15" x14ac:dyDescent="0.25"/>
  <cols>
    <col min="1" max="1" width="18" bestFit="1" customWidth="1"/>
    <col min="2" max="2" width="40" bestFit="1" customWidth="1"/>
    <col min="3" max="3" width="17.42578125" bestFit="1" customWidth="1"/>
    <col min="4" max="4" width="16.5703125" bestFit="1" customWidth="1"/>
    <col min="5" max="5" width="35.28515625" bestFit="1" customWidth="1"/>
    <col min="6" max="10" width="18.7109375" bestFit="1" customWidth="1"/>
    <col min="11" max="11" width="11.28515625" bestFit="1" customWidth="1"/>
  </cols>
  <sheetData>
    <row r="1" spans="1:5" x14ac:dyDescent="0.25">
      <c r="A1" t="s">
        <v>48</v>
      </c>
      <c r="B1" t="s">
        <v>39</v>
      </c>
      <c r="C1" t="s">
        <v>49</v>
      </c>
      <c r="D1" t="s">
        <v>50</v>
      </c>
      <c r="E1" t="s">
        <v>51</v>
      </c>
    </row>
    <row r="2" spans="1:5" x14ac:dyDescent="0.25">
      <c r="A2">
        <v>6</v>
      </c>
      <c r="B2" t="s">
        <v>7</v>
      </c>
      <c r="C2" s="1">
        <v>795</v>
      </c>
      <c r="D2">
        <v>12</v>
      </c>
      <c r="E2" s="1">
        <v>66.25</v>
      </c>
    </row>
    <row r="3" spans="1:5" x14ac:dyDescent="0.25">
      <c r="A3">
        <v>2</v>
      </c>
      <c r="B3" t="s">
        <v>3</v>
      </c>
      <c r="C3" s="1">
        <v>435</v>
      </c>
      <c r="D3">
        <v>7</v>
      </c>
      <c r="E3" s="1">
        <v>62.142899999999997</v>
      </c>
    </row>
    <row r="4" spans="1:5" x14ac:dyDescent="0.25">
      <c r="A4">
        <v>7</v>
      </c>
      <c r="B4" t="s">
        <v>8</v>
      </c>
      <c r="C4" s="1">
        <v>390</v>
      </c>
      <c r="D4">
        <v>8</v>
      </c>
      <c r="E4" s="1">
        <v>48.75</v>
      </c>
    </row>
    <row r="5" spans="1:5" x14ac:dyDescent="0.25">
      <c r="A5">
        <v>1</v>
      </c>
      <c r="B5" t="s">
        <v>2</v>
      </c>
      <c r="C5" s="1">
        <v>520</v>
      </c>
      <c r="D5">
        <v>12</v>
      </c>
      <c r="E5" s="1">
        <v>43.333300000000001</v>
      </c>
    </row>
    <row r="6" spans="1:5" x14ac:dyDescent="0.25">
      <c r="A6">
        <v>5</v>
      </c>
      <c r="B6" t="s">
        <v>6</v>
      </c>
      <c r="C6" s="1">
        <v>505</v>
      </c>
      <c r="D6">
        <v>12</v>
      </c>
      <c r="E6" s="1">
        <v>42.083300000000001</v>
      </c>
    </row>
    <row r="7" spans="1:5" x14ac:dyDescent="0.25">
      <c r="A7">
        <v>8</v>
      </c>
      <c r="B7" t="s">
        <v>9</v>
      </c>
      <c r="C7" s="1">
        <v>260</v>
      </c>
      <c r="D7">
        <v>7</v>
      </c>
      <c r="E7" s="1">
        <v>37.142899999999997</v>
      </c>
    </row>
    <row r="8" spans="1:5" x14ac:dyDescent="0.25">
      <c r="A8">
        <v>3</v>
      </c>
      <c r="B8" t="s">
        <v>4</v>
      </c>
      <c r="C8" s="1">
        <v>435</v>
      </c>
      <c r="D8">
        <v>12</v>
      </c>
      <c r="E8" s="1">
        <v>36.25</v>
      </c>
    </row>
    <row r="9" spans="1:5" x14ac:dyDescent="0.25">
      <c r="A9">
        <v>11</v>
      </c>
      <c r="B9" t="s">
        <v>12</v>
      </c>
      <c r="C9" s="1">
        <v>305</v>
      </c>
      <c r="D9">
        <v>9</v>
      </c>
      <c r="E9" s="1">
        <v>33.8889</v>
      </c>
    </row>
    <row r="10" spans="1:5" x14ac:dyDescent="0.25">
      <c r="A10">
        <v>4</v>
      </c>
      <c r="B10" t="s">
        <v>5</v>
      </c>
      <c r="C10" s="1">
        <v>150</v>
      </c>
      <c r="D10">
        <v>5</v>
      </c>
      <c r="E10" s="1">
        <v>30</v>
      </c>
    </row>
    <row r="11" spans="1:5" x14ac:dyDescent="0.25">
      <c r="A11">
        <v>12</v>
      </c>
      <c r="B11" t="s">
        <v>19</v>
      </c>
      <c r="C11" s="1">
        <v>25</v>
      </c>
      <c r="D11">
        <v>3</v>
      </c>
      <c r="E11" s="1">
        <v>8.3332999999999995</v>
      </c>
    </row>
    <row r="12" spans="1:5" x14ac:dyDescent="0.25">
      <c r="A12" t="s">
        <v>20</v>
      </c>
      <c r="C12" s="1">
        <f>SUBTOTAL(101,Top_10_per_player_for_2025_and_2026[Total_Cash_Out])</f>
        <v>382</v>
      </c>
      <c r="D12">
        <f>SUBTOTAL(101,Top_10_per_player_for_2025_and_2026[Games_Played])</f>
        <v>8.6999999999999993</v>
      </c>
      <c r="E12" s="1">
        <f>SUBTOTAL(101,Top_10_per_player_for_2025_and_2026[Average Cash Per Game 2025 - 2026])</f>
        <v>40.817459999999997</v>
      </c>
    </row>
    <row r="14" spans="1:5" x14ac:dyDescent="0.25">
      <c r="A14" t="s">
        <v>55</v>
      </c>
    </row>
    <row r="15" spans="1:5" ht="19.5" customHeight="1" x14ac:dyDescent="0.25"/>
    <row r="16" spans="1:5" x14ac:dyDescent="0.25">
      <c r="A16" s="3" t="s">
        <v>43</v>
      </c>
      <c r="B16" s="4" t="s">
        <v>52</v>
      </c>
    </row>
    <row r="17" spans="1:2" x14ac:dyDescent="0.25">
      <c r="A17" s="5" t="s">
        <v>7</v>
      </c>
      <c r="B17" s="6">
        <v>66.25</v>
      </c>
    </row>
    <row r="18" spans="1:2" x14ac:dyDescent="0.25">
      <c r="A18" s="5" t="s">
        <v>3</v>
      </c>
      <c r="B18" s="6">
        <v>62.142899999999997</v>
      </c>
    </row>
    <row r="19" spans="1:2" x14ac:dyDescent="0.25">
      <c r="A19" s="5" t="s">
        <v>8</v>
      </c>
      <c r="B19" s="6">
        <v>48.75</v>
      </c>
    </row>
    <row r="20" spans="1:2" x14ac:dyDescent="0.25">
      <c r="A20" s="5" t="s">
        <v>2</v>
      </c>
      <c r="B20" s="6">
        <v>43.333300000000001</v>
      </c>
    </row>
    <row r="21" spans="1:2" x14ac:dyDescent="0.25">
      <c r="A21" s="5" t="s">
        <v>6</v>
      </c>
      <c r="B21" s="6">
        <v>42.083300000000001</v>
      </c>
    </row>
    <row r="22" spans="1:2" x14ac:dyDescent="0.25">
      <c r="A22" s="5" t="s">
        <v>9</v>
      </c>
      <c r="B22" s="6">
        <v>37.142899999999997</v>
      </c>
    </row>
    <row r="23" spans="1:2" x14ac:dyDescent="0.25">
      <c r="A23" s="5" t="s">
        <v>4</v>
      </c>
      <c r="B23" s="6">
        <v>36.25</v>
      </c>
    </row>
    <row r="24" spans="1:2" x14ac:dyDescent="0.25">
      <c r="A24" s="5" t="s">
        <v>12</v>
      </c>
      <c r="B24" s="6">
        <v>33.8889</v>
      </c>
    </row>
    <row r="25" spans="1:2" x14ac:dyDescent="0.25">
      <c r="A25" s="5" t="s">
        <v>5</v>
      </c>
      <c r="B25" s="6">
        <v>30</v>
      </c>
    </row>
    <row r="26" spans="1:2" x14ac:dyDescent="0.25">
      <c r="A26" s="5" t="s">
        <v>19</v>
      </c>
      <c r="B26" s="6">
        <v>8.3332999999999995</v>
      </c>
    </row>
    <row r="27" spans="1:2" x14ac:dyDescent="0.25">
      <c r="A27" s="5" t="s">
        <v>18</v>
      </c>
      <c r="B27" s="6">
        <v>408.1746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39873-535E-4ACC-987C-18DABB6F6B4E}">
  <dimension ref="A1:E11"/>
  <sheetViews>
    <sheetView workbookViewId="0">
      <selection activeCell="I8" sqref="I8"/>
    </sheetView>
  </sheetViews>
  <sheetFormatPr defaultRowHeight="15" x14ac:dyDescent="0.25"/>
  <cols>
    <col min="1" max="1" width="12.28515625" bestFit="1" customWidth="1"/>
    <col min="2" max="2" width="18" bestFit="1" customWidth="1"/>
    <col min="3" max="3" width="16.28515625" bestFit="1" customWidth="1"/>
    <col min="4" max="4" width="14.85546875" bestFit="1" customWidth="1"/>
    <col min="5" max="5" width="16.42578125" bestFit="1" customWidth="1"/>
  </cols>
  <sheetData>
    <row r="1" spans="1:5" x14ac:dyDescent="0.25">
      <c r="A1" t="s">
        <v>22</v>
      </c>
      <c r="B1" t="s">
        <v>39</v>
      </c>
      <c r="C1" t="s">
        <v>53</v>
      </c>
      <c r="D1" t="s">
        <v>54</v>
      </c>
      <c r="E1" t="s">
        <v>35</v>
      </c>
    </row>
    <row r="2" spans="1:5" x14ac:dyDescent="0.25">
      <c r="A2">
        <v>6</v>
      </c>
      <c r="B2" s="33" t="s">
        <v>7</v>
      </c>
      <c r="C2">
        <v>410</v>
      </c>
      <c r="D2">
        <v>5</v>
      </c>
      <c r="E2">
        <v>20500</v>
      </c>
    </row>
    <row r="3" spans="1:5" x14ac:dyDescent="0.25">
      <c r="A3">
        <v>5</v>
      </c>
      <c r="B3" s="33" t="s">
        <v>6</v>
      </c>
      <c r="C3">
        <v>275</v>
      </c>
      <c r="D3">
        <v>5</v>
      </c>
      <c r="E3">
        <v>13750</v>
      </c>
    </row>
    <row r="4" spans="1:5" x14ac:dyDescent="0.25">
      <c r="A4">
        <v>2</v>
      </c>
      <c r="B4" s="33" t="s">
        <v>3</v>
      </c>
      <c r="C4">
        <v>275</v>
      </c>
      <c r="D4">
        <v>5</v>
      </c>
      <c r="E4">
        <v>13750</v>
      </c>
    </row>
    <row r="5" spans="1:5" x14ac:dyDescent="0.25">
      <c r="A5">
        <v>3</v>
      </c>
      <c r="B5" s="33" t="s">
        <v>4</v>
      </c>
      <c r="C5">
        <v>220</v>
      </c>
      <c r="D5">
        <v>5</v>
      </c>
      <c r="E5">
        <v>11000</v>
      </c>
    </row>
    <row r="6" spans="1:5" x14ac:dyDescent="0.25">
      <c r="A6">
        <v>11</v>
      </c>
      <c r="B6" s="33" t="s">
        <v>12</v>
      </c>
      <c r="C6">
        <v>200</v>
      </c>
      <c r="D6">
        <v>4</v>
      </c>
      <c r="E6">
        <v>10000</v>
      </c>
    </row>
    <row r="7" spans="1:5" x14ac:dyDescent="0.25">
      <c r="A7">
        <v>1</v>
      </c>
      <c r="B7" s="33" t="s">
        <v>2</v>
      </c>
      <c r="C7">
        <v>175</v>
      </c>
      <c r="D7">
        <v>5</v>
      </c>
      <c r="E7">
        <v>8750</v>
      </c>
    </row>
    <row r="8" spans="1:5" x14ac:dyDescent="0.25">
      <c r="A8">
        <v>8</v>
      </c>
      <c r="B8" s="33" t="s">
        <v>9</v>
      </c>
      <c r="C8">
        <v>170</v>
      </c>
      <c r="D8">
        <v>3</v>
      </c>
      <c r="E8">
        <v>8500</v>
      </c>
    </row>
    <row r="9" spans="1:5" x14ac:dyDescent="0.25">
      <c r="A9">
        <v>7</v>
      </c>
      <c r="B9" s="33" t="s">
        <v>8</v>
      </c>
      <c r="C9">
        <v>155</v>
      </c>
      <c r="D9">
        <v>3</v>
      </c>
      <c r="E9">
        <v>7750</v>
      </c>
    </row>
    <row r="10" spans="1:5" x14ac:dyDescent="0.25">
      <c r="A10">
        <v>12</v>
      </c>
      <c r="B10" s="33" t="s">
        <v>19</v>
      </c>
      <c r="C10">
        <v>25</v>
      </c>
      <c r="D10">
        <v>2</v>
      </c>
      <c r="E10">
        <v>1250</v>
      </c>
    </row>
    <row r="11" spans="1:5" x14ac:dyDescent="0.25">
      <c r="A11">
        <v>4</v>
      </c>
      <c r="B11" s="33" t="s">
        <v>5</v>
      </c>
      <c r="C11">
        <v>0</v>
      </c>
      <c r="D11">
        <v>1</v>
      </c>
      <c r="E11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7EB31-28E4-4BA5-B83C-BDA1A3A7F47A}">
  <dimension ref="A1:V40"/>
  <sheetViews>
    <sheetView topLeftCell="A10" workbookViewId="0">
      <selection activeCell="K33" sqref="K33"/>
    </sheetView>
  </sheetViews>
  <sheetFormatPr defaultRowHeight="15" x14ac:dyDescent="0.25"/>
  <cols>
    <col min="1" max="1" width="12.28515625" bestFit="1" customWidth="1"/>
    <col min="2" max="2" width="18" bestFit="1" customWidth="1"/>
    <col min="3" max="3" width="10.42578125" bestFit="1" customWidth="1"/>
    <col min="4" max="4" width="12" bestFit="1" customWidth="1"/>
    <col min="5" max="5" width="11.140625" bestFit="1" customWidth="1"/>
    <col min="6" max="6" width="16" bestFit="1" customWidth="1"/>
    <col min="7" max="7" width="7" customWidth="1"/>
    <col min="8" max="9" width="2.28515625" customWidth="1"/>
    <col min="10" max="10" width="4" customWidth="1"/>
    <col min="11" max="11" width="20.5703125" bestFit="1" customWidth="1"/>
    <col min="12" max="12" width="16.85546875" bestFit="1" customWidth="1"/>
    <col min="13" max="13" width="18.7109375" bestFit="1" customWidth="1"/>
    <col min="14" max="14" width="12.5703125" bestFit="1" customWidth="1"/>
    <col min="15" max="15" width="9.7109375" bestFit="1" customWidth="1"/>
    <col min="16" max="16" width="12" bestFit="1" customWidth="1"/>
    <col min="17" max="17" width="13.5703125" bestFit="1" customWidth="1"/>
    <col min="18" max="18" width="15.28515625" bestFit="1" customWidth="1"/>
    <col min="19" max="19" width="14.5703125" bestFit="1" customWidth="1"/>
    <col min="20" max="20" width="13.5703125" bestFit="1" customWidth="1"/>
    <col min="21" max="21" width="12.42578125" bestFit="1" customWidth="1"/>
    <col min="22" max="22" width="11.28515625" bestFit="1" customWidth="1"/>
  </cols>
  <sheetData>
    <row r="1" spans="1:22" x14ac:dyDescent="0.25">
      <c r="A1" t="s">
        <v>22</v>
      </c>
      <c r="B1" t="s">
        <v>39</v>
      </c>
      <c r="C1" t="s">
        <v>56</v>
      </c>
      <c r="D1" t="s">
        <v>57</v>
      </c>
      <c r="E1" t="s">
        <v>17</v>
      </c>
      <c r="F1" t="s">
        <v>42</v>
      </c>
    </row>
    <row r="2" spans="1:22" x14ac:dyDescent="0.25">
      <c r="A2">
        <v>1</v>
      </c>
      <c r="B2" s="33" t="s">
        <v>2</v>
      </c>
      <c r="C2" s="2">
        <v>46115</v>
      </c>
      <c r="D2">
        <v>12</v>
      </c>
      <c r="E2" s="1">
        <v>65</v>
      </c>
      <c r="F2" s="33">
        <v>3250</v>
      </c>
      <c r="K2" s="14" t="s">
        <v>44</v>
      </c>
      <c r="L2" s="14" t="s">
        <v>58</v>
      </c>
    </row>
    <row r="3" spans="1:22" x14ac:dyDescent="0.25">
      <c r="A3">
        <v>1</v>
      </c>
      <c r="B3" s="33" t="s">
        <v>2</v>
      </c>
      <c r="C3" s="2">
        <v>46087</v>
      </c>
      <c r="D3">
        <v>11</v>
      </c>
      <c r="E3" s="1">
        <v>55</v>
      </c>
      <c r="F3" s="33">
        <v>2750</v>
      </c>
      <c r="K3" s="14" t="s">
        <v>43</v>
      </c>
      <c r="L3" t="s">
        <v>4</v>
      </c>
      <c r="M3" t="s">
        <v>8</v>
      </c>
      <c r="N3" t="s">
        <v>3</v>
      </c>
      <c r="O3" t="s">
        <v>7</v>
      </c>
      <c r="P3" t="s">
        <v>12</v>
      </c>
      <c r="Q3" t="s">
        <v>2</v>
      </c>
      <c r="R3" t="s">
        <v>6</v>
      </c>
      <c r="S3" t="s">
        <v>19</v>
      </c>
      <c r="T3" t="s">
        <v>5</v>
      </c>
      <c r="U3" t="s">
        <v>9</v>
      </c>
      <c r="V3" t="s">
        <v>18</v>
      </c>
    </row>
    <row r="4" spans="1:22" x14ac:dyDescent="0.25">
      <c r="A4">
        <v>1</v>
      </c>
      <c r="B4" s="33" t="s">
        <v>2</v>
      </c>
      <c r="C4" s="2">
        <v>46045</v>
      </c>
      <c r="D4">
        <v>9</v>
      </c>
      <c r="E4" s="1">
        <v>45</v>
      </c>
      <c r="F4" s="33">
        <v>2250</v>
      </c>
      <c r="K4" s="16">
        <v>46024</v>
      </c>
      <c r="L4" s="33">
        <v>1250</v>
      </c>
      <c r="M4" s="33">
        <v>2500</v>
      </c>
      <c r="N4" s="33">
        <v>2250</v>
      </c>
      <c r="O4" s="33">
        <v>7000</v>
      </c>
      <c r="P4" s="33">
        <v>0</v>
      </c>
      <c r="Q4" s="33">
        <v>0</v>
      </c>
      <c r="R4" s="33">
        <v>5750</v>
      </c>
      <c r="S4" s="33">
        <v>1250</v>
      </c>
      <c r="T4" s="33"/>
      <c r="U4" s="33"/>
      <c r="V4" s="36">
        <v>20000</v>
      </c>
    </row>
    <row r="5" spans="1:22" x14ac:dyDescent="0.25">
      <c r="A5">
        <v>1</v>
      </c>
      <c r="B5" s="33" t="s">
        <v>2</v>
      </c>
      <c r="C5" s="2">
        <v>46066</v>
      </c>
      <c r="D5">
        <v>10</v>
      </c>
      <c r="E5" s="1">
        <v>10</v>
      </c>
      <c r="F5" s="33">
        <v>500</v>
      </c>
      <c r="K5" s="16">
        <v>46045</v>
      </c>
      <c r="L5" s="33">
        <v>1250</v>
      </c>
      <c r="M5" s="33"/>
      <c r="N5" s="33">
        <v>3250</v>
      </c>
      <c r="O5" s="33">
        <v>0</v>
      </c>
      <c r="P5" s="33">
        <v>3000</v>
      </c>
      <c r="Q5" s="33">
        <v>2250</v>
      </c>
      <c r="R5" s="33">
        <v>2500</v>
      </c>
      <c r="S5" s="33"/>
      <c r="T5" s="33"/>
      <c r="U5" s="33">
        <v>5250</v>
      </c>
      <c r="V5" s="36">
        <v>17500</v>
      </c>
    </row>
    <row r="6" spans="1:22" x14ac:dyDescent="0.25">
      <c r="A6">
        <v>1</v>
      </c>
      <c r="B6" s="33" t="s">
        <v>2</v>
      </c>
      <c r="C6" s="2">
        <v>46024</v>
      </c>
      <c r="D6">
        <v>8</v>
      </c>
      <c r="E6" s="1">
        <v>0</v>
      </c>
      <c r="F6" s="33">
        <v>0</v>
      </c>
      <c r="K6" s="16">
        <v>46066</v>
      </c>
      <c r="L6" s="33">
        <v>4000</v>
      </c>
      <c r="M6" s="33"/>
      <c r="N6" s="33">
        <v>1250</v>
      </c>
      <c r="O6" s="33">
        <v>4250</v>
      </c>
      <c r="P6" s="33">
        <v>2500</v>
      </c>
      <c r="Q6" s="33">
        <v>500</v>
      </c>
      <c r="R6" s="33">
        <v>1750</v>
      </c>
      <c r="S6" s="33"/>
      <c r="T6" s="33"/>
      <c r="U6" s="33">
        <v>3250</v>
      </c>
      <c r="V6" s="36">
        <v>17500</v>
      </c>
    </row>
    <row r="7" spans="1:22" x14ac:dyDescent="0.25">
      <c r="A7">
        <v>2</v>
      </c>
      <c r="B7" s="33" t="s">
        <v>3</v>
      </c>
      <c r="C7" s="2">
        <v>46087</v>
      </c>
      <c r="D7">
        <v>11</v>
      </c>
      <c r="E7" s="1">
        <v>70</v>
      </c>
      <c r="F7" s="33">
        <v>3500</v>
      </c>
      <c r="K7" s="16">
        <v>46087</v>
      </c>
      <c r="L7" s="33">
        <v>2000</v>
      </c>
      <c r="M7" s="33">
        <v>2750</v>
      </c>
      <c r="N7" s="33">
        <v>3500</v>
      </c>
      <c r="O7" s="33">
        <v>3000</v>
      </c>
      <c r="P7" s="33">
        <v>4500</v>
      </c>
      <c r="Q7" s="33">
        <v>2750</v>
      </c>
      <c r="R7" s="33">
        <v>1500</v>
      </c>
      <c r="S7" s="33">
        <v>0</v>
      </c>
      <c r="T7" s="33"/>
      <c r="U7" s="33"/>
      <c r="V7" s="36">
        <v>20000</v>
      </c>
    </row>
    <row r="8" spans="1:22" x14ac:dyDescent="0.25">
      <c r="A8">
        <v>2</v>
      </c>
      <c r="B8" s="33" t="s">
        <v>3</v>
      </c>
      <c r="C8" s="2">
        <v>46115</v>
      </c>
      <c r="D8">
        <v>12</v>
      </c>
      <c r="E8" s="1">
        <v>70</v>
      </c>
      <c r="F8" s="33">
        <v>3500</v>
      </c>
      <c r="K8" s="16">
        <v>46115</v>
      </c>
      <c r="L8" s="33">
        <v>2500</v>
      </c>
      <c r="M8" s="33">
        <v>2500</v>
      </c>
      <c r="N8" s="33">
        <v>3500</v>
      </c>
      <c r="O8" s="33">
        <v>6250</v>
      </c>
      <c r="P8" s="33"/>
      <c r="Q8" s="33">
        <v>3250</v>
      </c>
      <c r="R8" s="33">
        <v>2250</v>
      </c>
      <c r="S8" s="33"/>
      <c r="T8" s="33">
        <v>0</v>
      </c>
      <c r="U8" s="33">
        <v>0</v>
      </c>
      <c r="V8" s="36">
        <v>20250</v>
      </c>
    </row>
    <row r="9" spans="1:22" x14ac:dyDescent="0.25">
      <c r="A9">
        <v>2</v>
      </c>
      <c r="B9" s="33" t="s">
        <v>3</v>
      </c>
      <c r="C9" s="2">
        <v>46045</v>
      </c>
      <c r="D9">
        <v>9</v>
      </c>
      <c r="E9" s="1">
        <v>65</v>
      </c>
      <c r="F9" s="33">
        <v>3250</v>
      </c>
      <c r="K9" s="15" t="s">
        <v>18</v>
      </c>
      <c r="L9" s="33">
        <v>11000</v>
      </c>
      <c r="M9" s="33">
        <v>7750</v>
      </c>
      <c r="N9" s="33">
        <v>13750</v>
      </c>
      <c r="O9" s="33">
        <v>20500</v>
      </c>
      <c r="P9" s="33">
        <v>10000</v>
      </c>
      <c r="Q9" s="33">
        <v>8750</v>
      </c>
      <c r="R9" s="33">
        <v>13750</v>
      </c>
      <c r="S9" s="33">
        <v>1250</v>
      </c>
      <c r="T9" s="33">
        <v>0</v>
      </c>
      <c r="U9" s="33">
        <v>8500</v>
      </c>
      <c r="V9" s="33">
        <v>95250</v>
      </c>
    </row>
    <row r="10" spans="1:22" x14ac:dyDescent="0.25">
      <c r="A10">
        <v>2</v>
      </c>
      <c r="B10" s="33" t="s">
        <v>3</v>
      </c>
      <c r="C10" s="2">
        <v>46024</v>
      </c>
      <c r="D10">
        <v>8</v>
      </c>
      <c r="E10" s="1">
        <v>45</v>
      </c>
      <c r="F10" s="33">
        <v>2250</v>
      </c>
    </row>
    <row r="11" spans="1:22" x14ac:dyDescent="0.25">
      <c r="A11">
        <v>2</v>
      </c>
      <c r="B11" s="33" t="s">
        <v>3</v>
      </c>
      <c r="C11" s="2">
        <v>46066</v>
      </c>
      <c r="D11">
        <v>10</v>
      </c>
      <c r="E11" s="1">
        <v>25</v>
      </c>
      <c r="F11" s="33">
        <v>1250</v>
      </c>
    </row>
    <row r="12" spans="1:22" x14ac:dyDescent="0.25">
      <c r="A12">
        <v>3</v>
      </c>
      <c r="B12" s="33" t="s">
        <v>4</v>
      </c>
      <c r="C12" s="2">
        <v>46066</v>
      </c>
      <c r="D12">
        <v>10</v>
      </c>
      <c r="E12" s="1">
        <v>80</v>
      </c>
      <c r="F12" s="33">
        <v>4000</v>
      </c>
    </row>
    <row r="13" spans="1:22" x14ac:dyDescent="0.25">
      <c r="A13">
        <v>3</v>
      </c>
      <c r="B13" s="33" t="s">
        <v>4</v>
      </c>
      <c r="C13" s="2">
        <v>46115</v>
      </c>
      <c r="D13">
        <v>12</v>
      </c>
      <c r="E13" s="1">
        <v>50</v>
      </c>
      <c r="F13" s="33">
        <v>2500</v>
      </c>
    </row>
    <row r="14" spans="1:22" x14ac:dyDescent="0.25">
      <c r="A14">
        <v>3</v>
      </c>
      <c r="B14" s="33" t="s">
        <v>4</v>
      </c>
      <c r="C14" s="2">
        <v>46087</v>
      </c>
      <c r="D14">
        <v>11</v>
      </c>
      <c r="E14" s="1">
        <v>40</v>
      </c>
      <c r="F14" s="33">
        <v>2000</v>
      </c>
    </row>
    <row r="15" spans="1:22" x14ac:dyDescent="0.25">
      <c r="A15">
        <v>3</v>
      </c>
      <c r="B15" s="33" t="s">
        <v>4</v>
      </c>
      <c r="C15" s="2">
        <v>46045</v>
      </c>
      <c r="D15">
        <v>9</v>
      </c>
      <c r="E15" s="1">
        <v>25</v>
      </c>
      <c r="F15" s="33">
        <v>1250</v>
      </c>
    </row>
    <row r="16" spans="1:22" x14ac:dyDescent="0.25">
      <c r="A16">
        <v>3</v>
      </c>
      <c r="B16" s="33" t="s">
        <v>4</v>
      </c>
      <c r="C16" s="2">
        <v>46024</v>
      </c>
      <c r="D16">
        <v>8</v>
      </c>
      <c r="E16" s="1">
        <v>25</v>
      </c>
      <c r="F16" s="33">
        <v>1250</v>
      </c>
    </row>
    <row r="17" spans="1:6" x14ac:dyDescent="0.25">
      <c r="A17">
        <v>4</v>
      </c>
      <c r="B17" s="33" t="s">
        <v>5</v>
      </c>
      <c r="C17" s="2">
        <v>46115</v>
      </c>
      <c r="D17">
        <v>12</v>
      </c>
      <c r="E17" s="1">
        <v>0</v>
      </c>
      <c r="F17" s="33">
        <v>0</v>
      </c>
    </row>
    <row r="18" spans="1:6" x14ac:dyDescent="0.25">
      <c r="A18">
        <v>5</v>
      </c>
      <c r="B18" s="33" t="s">
        <v>6</v>
      </c>
      <c r="C18" s="2">
        <v>46024</v>
      </c>
      <c r="D18">
        <v>8</v>
      </c>
      <c r="E18" s="1">
        <v>115</v>
      </c>
      <c r="F18" s="33">
        <v>5750</v>
      </c>
    </row>
    <row r="19" spans="1:6" x14ac:dyDescent="0.25">
      <c r="A19">
        <v>5</v>
      </c>
      <c r="B19" s="33" t="s">
        <v>6</v>
      </c>
      <c r="C19" s="2">
        <v>46045</v>
      </c>
      <c r="D19">
        <v>9</v>
      </c>
      <c r="E19" s="1">
        <v>50</v>
      </c>
      <c r="F19" s="33">
        <v>2500</v>
      </c>
    </row>
    <row r="20" spans="1:6" x14ac:dyDescent="0.25">
      <c r="A20">
        <v>5</v>
      </c>
      <c r="B20" s="33" t="s">
        <v>6</v>
      </c>
      <c r="C20" s="2">
        <v>46115</v>
      </c>
      <c r="D20">
        <v>12</v>
      </c>
      <c r="E20" s="1">
        <v>45</v>
      </c>
      <c r="F20" s="33">
        <v>2250</v>
      </c>
    </row>
    <row r="21" spans="1:6" x14ac:dyDescent="0.25">
      <c r="A21">
        <v>5</v>
      </c>
      <c r="B21" s="33" t="s">
        <v>6</v>
      </c>
      <c r="C21" s="2">
        <v>46066</v>
      </c>
      <c r="D21">
        <v>10</v>
      </c>
      <c r="E21" s="1">
        <v>35</v>
      </c>
      <c r="F21" s="33">
        <v>1750</v>
      </c>
    </row>
    <row r="22" spans="1:6" x14ac:dyDescent="0.25">
      <c r="A22">
        <v>5</v>
      </c>
      <c r="B22" s="33" t="s">
        <v>6</v>
      </c>
      <c r="C22" s="2">
        <v>46087</v>
      </c>
      <c r="D22">
        <v>11</v>
      </c>
      <c r="E22" s="1">
        <v>30</v>
      </c>
      <c r="F22" s="33">
        <v>1500</v>
      </c>
    </row>
    <row r="23" spans="1:6" x14ac:dyDescent="0.25">
      <c r="A23">
        <v>6</v>
      </c>
      <c r="B23" s="33" t="s">
        <v>7</v>
      </c>
      <c r="C23" s="2">
        <v>46024</v>
      </c>
      <c r="D23">
        <v>8</v>
      </c>
      <c r="E23" s="1">
        <v>140</v>
      </c>
      <c r="F23" s="33">
        <v>7000</v>
      </c>
    </row>
    <row r="24" spans="1:6" x14ac:dyDescent="0.25">
      <c r="A24">
        <v>6</v>
      </c>
      <c r="B24" s="33" t="s">
        <v>7</v>
      </c>
      <c r="C24" s="2">
        <v>46115</v>
      </c>
      <c r="D24">
        <v>12</v>
      </c>
      <c r="E24" s="1">
        <v>125</v>
      </c>
      <c r="F24" s="33">
        <v>6250</v>
      </c>
    </row>
    <row r="25" spans="1:6" x14ac:dyDescent="0.25">
      <c r="A25">
        <v>6</v>
      </c>
      <c r="B25" s="33" t="s">
        <v>7</v>
      </c>
      <c r="C25" s="2">
        <v>46066</v>
      </c>
      <c r="D25">
        <v>10</v>
      </c>
      <c r="E25" s="1">
        <v>85</v>
      </c>
      <c r="F25" s="33">
        <v>4250</v>
      </c>
    </row>
    <row r="26" spans="1:6" x14ac:dyDescent="0.25">
      <c r="A26">
        <v>6</v>
      </c>
      <c r="B26" s="33" t="s">
        <v>7</v>
      </c>
      <c r="C26" s="2">
        <v>46087</v>
      </c>
      <c r="D26">
        <v>11</v>
      </c>
      <c r="E26" s="1">
        <v>60</v>
      </c>
      <c r="F26" s="33">
        <v>3000</v>
      </c>
    </row>
    <row r="27" spans="1:6" x14ac:dyDescent="0.25">
      <c r="A27">
        <v>6</v>
      </c>
      <c r="B27" s="33" t="s">
        <v>7</v>
      </c>
      <c r="C27" s="2">
        <v>46045</v>
      </c>
      <c r="D27">
        <v>9</v>
      </c>
      <c r="E27" s="1">
        <v>0</v>
      </c>
      <c r="F27" s="33">
        <v>0</v>
      </c>
    </row>
    <row r="28" spans="1:6" x14ac:dyDescent="0.25">
      <c r="A28">
        <v>7</v>
      </c>
      <c r="B28" s="33" t="s">
        <v>8</v>
      </c>
      <c r="C28" s="2">
        <v>46087</v>
      </c>
      <c r="D28">
        <v>11</v>
      </c>
      <c r="E28" s="1">
        <v>55</v>
      </c>
      <c r="F28" s="33">
        <v>2750</v>
      </c>
    </row>
    <row r="29" spans="1:6" x14ac:dyDescent="0.25">
      <c r="A29">
        <v>7</v>
      </c>
      <c r="B29" s="33" t="s">
        <v>8</v>
      </c>
      <c r="C29" s="2">
        <v>46115</v>
      </c>
      <c r="D29">
        <v>12</v>
      </c>
      <c r="E29" s="1">
        <v>50</v>
      </c>
      <c r="F29" s="33">
        <v>2500</v>
      </c>
    </row>
    <row r="30" spans="1:6" x14ac:dyDescent="0.25">
      <c r="A30">
        <v>7</v>
      </c>
      <c r="B30" s="33" t="s">
        <v>8</v>
      </c>
      <c r="C30" s="2">
        <v>46024</v>
      </c>
      <c r="D30">
        <v>8</v>
      </c>
      <c r="E30" s="1">
        <v>50</v>
      </c>
      <c r="F30" s="33">
        <v>2500</v>
      </c>
    </row>
    <row r="31" spans="1:6" x14ac:dyDescent="0.25">
      <c r="A31">
        <v>8</v>
      </c>
      <c r="B31" s="33" t="s">
        <v>9</v>
      </c>
      <c r="C31" s="2">
        <v>46045</v>
      </c>
      <c r="D31">
        <v>9</v>
      </c>
      <c r="E31" s="1">
        <v>105</v>
      </c>
      <c r="F31" s="33">
        <v>5250</v>
      </c>
    </row>
    <row r="32" spans="1:6" x14ac:dyDescent="0.25">
      <c r="A32">
        <v>8</v>
      </c>
      <c r="B32" s="33" t="s">
        <v>9</v>
      </c>
      <c r="C32" s="2">
        <v>46066</v>
      </c>
      <c r="D32">
        <v>10</v>
      </c>
      <c r="E32" s="1">
        <v>65</v>
      </c>
      <c r="F32" s="33">
        <v>3250</v>
      </c>
    </row>
    <row r="33" spans="1:6" x14ac:dyDescent="0.25">
      <c r="A33">
        <v>8</v>
      </c>
      <c r="B33" s="33" t="s">
        <v>9</v>
      </c>
      <c r="C33" s="2">
        <v>46115</v>
      </c>
      <c r="D33">
        <v>12</v>
      </c>
      <c r="E33" s="1">
        <v>0</v>
      </c>
      <c r="F33" s="33">
        <v>0</v>
      </c>
    </row>
    <row r="34" spans="1:6" x14ac:dyDescent="0.25">
      <c r="A34">
        <v>11</v>
      </c>
      <c r="B34" s="33" t="s">
        <v>12</v>
      </c>
      <c r="C34" s="2">
        <v>46087</v>
      </c>
      <c r="D34">
        <v>11</v>
      </c>
      <c r="E34" s="1">
        <v>90</v>
      </c>
      <c r="F34" s="33">
        <v>4500</v>
      </c>
    </row>
    <row r="35" spans="1:6" x14ac:dyDescent="0.25">
      <c r="A35">
        <v>11</v>
      </c>
      <c r="B35" s="33" t="s">
        <v>12</v>
      </c>
      <c r="C35" s="2">
        <v>46045</v>
      </c>
      <c r="D35">
        <v>9</v>
      </c>
      <c r="E35" s="1">
        <v>60</v>
      </c>
      <c r="F35" s="33">
        <v>3000</v>
      </c>
    </row>
    <row r="36" spans="1:6" x14ac:dyDescent="0.25">
      <c r="A36">
        <v>11</v>
      </c>
      <c r="B36" s="33" t="s">
        <v>12</v>
      </c>
      <c r="C36" s="2">
        <v>46066</v>
      </c>
      <c r="D36">
        <v>10</v>
      </c>
      <c r="E36" s="1">
        <v>50</v>
      </c>
      <c r="F36" s="33">
        <v>2500</v>
      </c>
    </row>
    <row r="37" spans="1:6" x14ac:dyDescent="0.25">
      <c r="A37">
        <v>11</v>
      </c>
      <c r="B37" s="33" t="s">
        <v>12</v>
      </c>
      <c r="C37" s="2">
        <v>46024</v>
      </c>
      <c r="D37">
        <v>8</v>
      </c>
      <c r="E37" s="1">
        <v>0</v>
      </c>
      <c r="F37" s="33">
        <v>0</v>
      </c>
    </row>
    <row r="38" spans="1:6" x14ac:dyDescent="0.25">
      <c r="A38">
        <v>12</v>
      </c>
      <c r="B38" s="33" t="s">
        <v>19</v>
      </c>
      <c r="C38" s="2">
        <v>46024</v>
      </c>
      <c r="D38">
        <v>8</v>
      </c>
      <c r="E38" s="1">
        <v>25</v>
      </c>
      <c r="F38" s="33">
        <v>1250</v>
      </c>
    </row>
    <row r="39" spans="1:6" x14ac:dyDescent="0.25">
      <c r="A39">
        <v>12</v>
      </c>
      <c r="B39" s="33" t="s">
        <v>19</v>
      </c>
      <c r="C39" s="2">
        <v>46087</v>
      </c>
      <c r="D39">
        <v>11</v>
      </c>
      <c r="E39" s="1">
        <v>0</v>
      </c>
      <c r="F39" s="33">
        <v>0</v>
      </c>
    </row>
    <row r="40" spans="1:6" x14ac:dyDescent="0.25">
      <c r="A40" t="s">
        <v>20</v>
      </c>
      <c r="D40">
        <f>SUBTOTAL(103,List_of_Cashouts_per_player_for_2026[Game_No])</f>
        <v>38</v>
      </c>
      <c r="E40" s="1">
        <f>SUBTOTAL(109,List_of_Cashouts_per_player_for_2026[CashOut])</f>
        <v>1905</v>
      </c>
      <c r="F40">
        <f>SUBTOTAL(109,List_of_Cashouts_per_player_for_2026[League Points])</f>
        <v>95250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738D-0715-4FF5-B84B-F4ACAED7A864}">
  <dimension ref="A1:G89"/>
  <sheetViews>
    <sheetView workbookViewId="0">
      <selection activeCell="D9" sqref="D9"/>
    </sheetView>
  </sheetViews>
  <sheetFormatPr defaultRowHeight="15" x14ac:dyDescent="0.25"/>
  <cols>
    <col min="1" max="1" width="11.42578125" bestFit="1" customWidth="1"/>
    <col min="2" max="2" width="12.28515625" bestFit="1" customWidth="1"/>
    <col min="3" max="4" width="9.140625" bestFit="1" customWidth="1"/>
    <col min="5" max="5" width="11.140625" bestFit="1" customWidth="1"/>
    <col min="6" max="6" width="7.28515625" bestFit="1" customWidth="1"/>
    <col min="7" max="7" width="26.28515625" bestFit="1" customWidth="1"/>
  </cols>
  <sheetData>
    <row r="1" spans="1:7" x14ac:dyDescent="0.25">
      <c r="A1" t="s">
        <v>21</v>
      </c>
      <c r="B1" t="s">
        <v>22</v>
      </c>
      <c r="C1" t="s">
        <v>15</v>
      </c>
      <c r="D1" t="s">
        <v>16</v>
      </c>
      <c r="E1" t="s">
        <v>17</v>
      </c>
      <c r="F1" t="s">
        <v>37</v>
      </c>
      <c r="G1" t="s">
        <v>41</v>
      </c>
    </row>
    <row r="2" spans="1:7" x14ac:dyDescent="0.25">
      <c r="A2">
        <v>1</v>
      </c>
      <c r="B2">
        <v>1</v>
      </c>
      <c r="C2" s="1">
        <v>30</v>
      </c>
      <c r="D2" s="1">
        <v>20</v>
      </c>
      <c r="E2" s="1">
        <v>50</v>
      </c>
      <c r="F2" s="1">
        <v>0</v>
      </c>
      <c r="G2" s="33" t="s">
        <v>2</v>
      </c>
    </row>
    <row r="3" spans="1:7" x14ac:dyDescent="0.25">
      <c r="A3">
        <v>2</v>
      </c>
      <c r="B3">
        <v>1</v>
      </c>
      <c r="C3" s="1">
        <v>30</v>
      </c>
      <c r="D3" s="1">
        <v>0</v>
      </c>
      <c r="E3" s="1">
        <v>25</v>
      </c>
      <c r="F3" s="1">
        <v>-5</v>
      </c>
      <c r="G3" s="33" t="s">
        <v>2</v>
      </c>
    </row>
    <row r="4" spans="1:7" x14ac:dyDescent="0.25">
      <c r="A4">
        <v>1</v>
      </c>
      <c r="B4">
        <v>2</v>
      </c>
      <c r="C4" s="1">
        <v>30</v>
      </c>
      <c r="D4" s="1">
        <v>0</v>
      </c>
      <c r="E4" s="1">
        <v>105</v>
      </c>
      <c r="F4" s="1">
        <v>75</v>
      </c>
      <c r="G4" s="33" t="s">
        <v>3</v>
      </c>
    </row>
    <row r="5" spans="1:7" x14ac:dyDescent="0.25">
      <c r="A5">
        <v>2</v>
      </c>
      <c r="B5">
        <v>2</v>
      </c>
      <c r="C5" s="1">
        <v>30</v>
      </c>
      <c r="D5" s="1">
        <v>0</v>
      </c>
      <c r="E5" s="1">
        <v>55</v>
      </c>
      <c r="F5" s="1">
        <v>25</v>
      </c>
      <c r="G5" s="33" t="s">
        <v>3</v>
      </c>
    </row>
    <row r="6" spans="1:7" x14ac:dyDescent="0.25">
      <c r="A6">
        <v>1</v>
      </c>
      <c r="B6">
        <v>3</v>
      </c>
      <c r="C6" s="1">
        <v>30</v>
      </c>
      <c r="D6" s="1">
        <v>20</v>
      </c>
      <c r="E6" s="1">
        <v>40</v>
      </c>
      <c r="F6" s="1">
        <v>-10</v>
      </c>
      <c r="G6" s="33" t="s">
        <v>4</v>
      </c>
    </row>
    <row r="7" spans="1:7" x14ac:dyDescent="0.25">
      <c r="A7">
        <v>2</v>
      </c>
      <c r="B7">
        <v>3</v>
      </c>
      <c r="C7" s="1">
        <v>30</v>
      </c>
      <c r="D7" s="1">
        <v>20</v>
      </c>
      <c r="E7" s="1">
        <v>30</v>
      </c>
      <c r="F7" s="1">
        <v>-20</v>
      </c>
      <c r="G7" s="33" t="s">
        <v>4</v>
      </c>
    </row>
    <row r="8" spans="1:7" x14ac:dyDescent="0.25">
      <c r="A8">
        <v>1</v>
      </c>
      <c r="B8">
        <v>4</v>
      </c>
      <c r="C8" s="1">
        <v>30</v>
      </c>
      <c r="D8" s="1">
        <v>0</v>
      </c>
      <c r="E8" s="1">
        <v>20</v>
      </c>
      <c r="F8" s="1">
        <v>-10</v>
      </c>
      <c r="G8" s="33" t="s">
        <v>5</v>
      </c>
    </row>
    <row r="9" spans="1:7" x14ac:dyDescent="0.25">
      <c r="A9">
        <v>2</v>
      </c>
      <c r="B9">
        <v>4</v>
      </c>
      <c r="C9" s="1">
        <v>30</v>
      </c>
      <c r="D9" s="1">
        <v>20</v>
      </c>
      <c r="E9" s="1">
        <v>25</v>
      </c>
      <c r="F9" s="1">
        <v>-25</v>
      </c>
      <c r="G9" s="33" t="s">
        <v>5</v>
      </c>
    </row>
    <row r="10" spans="1:7" x14ac:dyDescent="0.25">
      <c r="A10">
        <v>1</v>
      </c>
      <c r="B10">
        <v>5</v>
      </c>
      <c r="C10" s="1">
        <v>30</v>
      </c>
      <c r="D10" s="1">
        <v>20</v>
      </c>
      <c r="E10" s="1">
        <v>25</v>
      </c>
      <c r="F10" s="1">
        <v>-25</v>
      </c>
      <c r="G10" s="33" t="s">
        <v>6</v>
      </c>
    </row>
    <row r="11" spans="1:7" x14ac:dyDescent="0.25">
      <c r="A11">
        <v>2</v>
      </c>
      <c r="B11">
        <v>5</v>
      </c>
      <c r="C11" s="1">
        <v>30</v>
      </c>
      <c r="D11" s="1">
        <v>20</v>
      </c>
      <c r="E11" s="1">
        <v>0</v>
      </c>
      <c r="F11" s="1">
        <v>-50</v>
      </c>
      <c r="G11" s="33" t="s">
        <v>6</v>
      </c>
    </row>
    <row r="12" spans="1:7" x14ac:dyDescent="0.25">
      <c r="A12">
        <v>1</v>
      </c>
      <c r="B12">
        <v>6</v>
      </c>
      <c r="C12" s="1">
        <v>30</v>
      </c>
      <c r="D12" s="1">
        <v>0</v>
      </c>
      <c r="E12" s="1">
        <v>0</v>
      </c>
      <c r="F12" s="1">
        <v>-30</v>
      </c>
      <c r="G12" s="33" t="s">
        <v>7</v>
      </c>
    </row>
    <row r="13" spans="1:7" x14ac:dyDescent="0.25">
      <c r="A13">
        <v>2</v>
      </c>
      <c r="B13">
        <v>6</v>
      </c>
      <c r="C13" s="1">
        <v>30</v>
      </c>
      <c r="D13" s="1">
        <v>20</v>
      </c>
      <c r="E13" s="1">
        <v>130</v>
      </c>
      <c r="F13" s="1">
        <v>80</v>
      </c>
      <c r="G13" s="33" t="s">
        <v>7</v>
      </c>
    </row>
    <row r="14" spans="1:7" x14ac:dyDescent="0.25">
      <c r="A14">
        <v>2</v>
      </c>
      <c r="B14">
        <v>8</v>
      </c>
      <c r="C14" s="1">
        <v>30</v>
      </c>
      <c r="D14" s="1">
        <v>0</v>
      </c>
      <c r="E14" s="1">
        <v>60</v>
      </c>
      <c r="F14" s="1">
        <v>30</v>
      </c>
      <c r="G14" s="33" t="s">
        <v>9</v>
      </c>
    </row>
    <row r="15" spans="1:7" x14ac:dyDescent="0.25">
      <c r="A15">
        <v>2</v>
      </c>
      <c r="B15">
        <v>11</v>
      </c>
      <c r="C15" s="1">
        <v>30</v>
      </c>
      <c r="D15" s="1">
        <v>0</v>
      </c>
      <c r="E15" s="1">
        <v>0</v>
      </c>
      <c r="F15" s="1">
        <v>-30</v>
      </c>
      <c r="G15" s="33" t="s">
        <v>12</v>
      </c>
    </row>
    <row r="16" spans="1:7" x14ac:dyDescent="0.25">
      <c r="A16">
        <v>3</v>
      </c>
      <c r="B16">
        <v>1</v>
      </c>
      <c r="C16" s="1">
        <v>30</v>
      </c>
      <c r="D16" s="1">
        <v>0</v>
      </c>
      <c r="E16" s="1">
        <v>110</v>
      </c>
      <c r="F16" s="1">
        <v>80</v>
      </c>
      <c r="G16" s="33" t="s">
        <v>2</v>
      </c>
    </row>
    <row r="17" spans="1:7" x14ac:dyDescent="0.25">
      <c r="A17">
        <v>3</v>
      </c>
      <c r="B17">
        <v>3</v>
      </c>
      <c r="C17" s="1">
        <v>30</v>
      </c>
      <c r="D17" s="1">
        <v>0</v>
      </c>
      <c r="E17" s="1">
        <v>65</v>
      </c>
      <c r="F17" s="1">
        <v>35</v>
      </c>
      <c r="G17" s="33" t="s">
        <v>4</v>
      </c>
    </row>
    <row r="18" spans="1:7" x14ac:dyDescent="0.25">
      <c r="A18">
        <v>3</v>
      </c>
      <c r="B18">
        <v>4</v>
      </c>
      <c r="C18" s="1">
        <v>30</v>
      </c>
      <c r="D18" s="1">
        <v>20</v>
      </c>
      <c r="E18" s="1">
        <v>0</v>
      </c>
      <c r="F18" s="1">
        <v>-50</v>
      </c>
      <c r="G18" s="33" t="s">
        <v>5</v>
      </c>
    </row>
    <row r="19" spans="1:7" x14ac:dyDescent="0.25">
      <c r="A19">
        <v>3</v>
      </c>
      <c r="B19">
        <v>5</v>
      </c>
      <c r="C19" s="1">
        <v>30</v>
      </c>
      <c r="D19" s="1">
        <v>20</v>
      </c>
      <c r="E19" s="1">
        <v>0</v>
      </c>
      <c r="F19" s="1">
        <v>-50</v>
      </c>
      <c r="G19" s="33" t="s">
        <v>6</v>
      </c>
    </row>
    <row r="20" spans="1:7" x14ac:dyDescent="0.25">
      <c r="A20">
        <v>3</v>
      </c>
      <c r="B20">
        <v>6</v>
      </c>
      <c r="C20" s="1">
        <v>30</v>
      </c>
      <c r="D20" s="1">
        <v>0</v>
      </c>
      <c r="E20" s="1">
        <v>0</v>
      </c>
      <c r="F20" s="1">
        <v>-30</v>
      </c>
      <c r="G20" s="33" t="s">
        <v>7</v>
      </c>
    </row>
    <row r="21" spans="1:7" x14ac:dyDescent="0.25">
      <c r="A21">
        <v>3</v>
      </c>
      <c r="B21">
        <v>7</v>
      </c>
      <c r="C21" s="1">
        <v>30</v>
      </c>
      <c r="D21" s="1">
        <v>0</v>
      </c>
      <c r="E21" s="1">
        <v>75</v>
      </c>
      <c r="F21" s="1">
        <v>45</v>
      </c>
      <c r="G21" s="33" t="s">
        <v>8</v>
      </c>
    </row>
    <row r="22" spans="1:7" x14ac:dyDescent="0.25">
      <c r="A22">
        <v>3</v>
      </c>
      <c r="B22">
        <v>8</v>
      </c>
      <c r="C22" s="1">
        <v>30</v>
      </c>
      <c r="D22" s="1">
        <v>30</v>
      </c>
      <c r="E22" s="1">
        <v>0</v>
      </c>
      <c r="F22" s="1">
        <v>-60</v>
      </c>
      <c r="G22" s="33" t="s">
        <v>9</v>
      </c>
    </row>
    <row r="23" spans="1:7" x14ac:dyDescent="0.25">
      <c r="A23">
        <v>3</v>
      </c>
      <c r="B23">
        <v>11</v>
      </c>
      <c r="C23" s="1">
        <v>30</v>
      </c>
      <c r="D23" s="1">
        <v>0</v>
      </c>
      <c r="E23" s="1">
        <v>0</v>
      </c>
      <c r="F23" s="1">
        <v>-30</v>
      </c>
      <c r="G23" s="33" t="s">
        <v>12</v>
      </c>
    </row>
    <row r="24" spans="1:7" x14ac:dyDescent="0.25">
      <c r="A24">
        <v>4</v>
      </c>
      <c r="B24">
        <v>1</v>
      </c>
      <c r="C24" s="1">
        <v>30</v>
      </c>
      <c r="D24" s="1">
        <v>0</v>
      </c>
      <c r="E24" s="1">
        <v>40</v>
      </c>
      <c r="F24" s="1">
        <v>10</v>
      </c>
      <c r="G24" s="33" t="s">
        <v>2</v>
      </c>
    </row>
    <row r="25" spans="1:7" x14ac:dyDescent="0.25">
      <c r="A25">
        <v>4</v>
      </c>
      <c r="B25">
        <v>3</v>
      </c>
      <c r="C25" s="1">
        <v>30</v>
      </c>
      <c r="D25" s="1">
        <v>0</v>
      </c>
      <c r="E25" s="1">
        <v>45</v>
      </c>
      <c r="F25" s="1">
        <v>15</v>
      </c>
      <c r="G25" s="33" t="s">
        <v>4</v>
      </c>
    </row>
    <row r="26" spans="1:7" x14ac:dyDescent="0.25">
      <c r="A26">
        <v>4</v>
      </c>
      <c r="B26">
        <v>5</v>
      </c>
      <c r="C26" s="1">
        <v>30</v>
      </c>
      <c r="D26" s="1">
        <v>40</v>
      </c>
      <c r="E26" s="1">
        <v>15</v>
      </c>
      <c r="F26" s="1">
        <v>-55</v>
      </c>
      <c r="G26" s="33" t="s">
        <v>6</v>
      </c>
    </row>
    <row r="27" spans="1:7" x14ac:dyDescent="0.25">
      <c r="A27">
        <v>4</v>
      </c>
      <c r="B27">
        <v>6</v>
      </c>
      <c r="C27" s="1">
        <v>30</v>
      </c>
      <c r="D27" s="1">
        <v>0</v>
      </c>
      <c r="E27" s="1">
        <v>100</v>
      </c>
      <c r="F27" s="1">
        <v>70</v>
      </c>
      <c r="G27" s="33" t="s">
        <v>7</v>
      </c>
    </row>
    <row r="28" spans="1:7" x14ac:dyDescent="0.25">
      <c r="A28">
        <v>4</v>
      </c>
      <c r="B28">
        <v>7</v>
      </c>
      <c r="C28" s="1">
        <v>30</v>
      </c>
      <c r="D28" s="1">
        <v>20</v>
      </c>
      <c r="E28" s="1">
        <v>65</v>
      </c>
      <c r="F28" s="1">
        <v>15</v>
      </c>
      <c r="G28" s="33" t="s">
        <v>8</v>
      </c>
    </row>
    <row r="29" spans="1:7" x14ac:dyDescent="0.25">
      <c r="A29">
        <v>4</v>
      </c>
      <c r="B29">
        <v>8</v>
      </c>
      <c r="C29" s="1">
        <v>30</v>
      </c>
      <c r="D29" s="1">
        <v>40</v>
      </c>
      <c r="E29" s="1">
        <v>0</v>
      </c>
      <c r="F29" s="1">
        <v>-70</v>
      </c>
      <c r="G29" s="33" t="s">
        <v>9</v>
      </c>
    </row>
    <row r="30" spans="1:7" x14ac:dyDescent="0.25">
      <c r="A30">
        <v>4</v>
      </c>
      <c r="B30">
        <v>11</v>
      </c>
      <c r="C30" s="1">
        <v>30</v>
      </c>
      <c r="D30" s="1">
        <v>0</v>
      </c>
      <c r="E30" s="1">
        <v>45</v>
      </c>
      <c r="F30" s="1">
        <v>15</v>
      </c>
      <c r="G30" s="33" t="s">
        <v>12</v>
      </c>
    </row>
    <row r="31" spans="1:7" x14ac:dyDescent="0.25">
      <c r="A31">
        <v>5</v>
      </c>
      <c r="B31">
        <v>1</v>
      </c>
      <c r="C31" s="1">
        <v>30</v>
      </c>
      <c r="D31" s="1">
        <v>0</v>
      </c>
      <c r="E31" s="1">
        <v>60</v>
      </c>
      <c r="F31" s="1">
        <v>30</v>
      </c>
      <c r="G31" s="33" t="s">
        <v>2</v>
      </c>
    </row>
    <row r="32" spans="1:7" x14ac:dyDescent="0.25">
      <c r="A32">
        <v>5</v>
      </c>
      <c r="B32">
        <v>3</v>
      </c>
      <c r="C32" s="1">
        <v>30</v>
      </c>
      <c r="D32" s="1">
        <v>0</v>
      </c>
      <c r="E32" s="1">
        <v>0</v>
      </c>
      <c r="F32" s="1">
        <v>-30</v>
      </c>
      <c r="G32" s="33" t="s">
        <v>4</v>
      </c>
    </row>
    <row r="33" spans="1:7" x14ac:dyDescent="0.25">
      <c r="A33">
        <v>5</v>
      </c>
      <c r="B33">
        <v>5</v>
      </c>
      <c r="C33" s="1">
        <v>30</v>
      </c>
      <c r="D33" s="1">
        <v>20</v>
      </c>
      <c r="E33" s="1">
        <v>120</v>
      </c>
      <c r="F33" s="1">
        <v>70</v>
      </c>
      <c r="G33" s="33" t="s">
        <v>6</v>
      </c>
    </row>
    <row r="34" spans="1:7" x14ac:dyDescent="0.25">
      <c r="A34">
        <v>5</v>
      </c>
      <c r="B34">
        <v>6</v>
      </c>
      <c r="C34" s="1">
        <v>30</v>
      </c>
      <c r="D34" s="1">
        <v>40</v>
      </c>
      <c r="E34" s="1">
        <v>0</v>
      </c>
      <c r="F34" s="1">
        <v>-70</v>
      </c>
      <c r="G34" s="33" t="s">
        <v>7</v>
      </c>
    </row>
    <row r="35" spans="1:7" x14ac:dyDescent="0.25">
      <c r="A35">
        <v>5</v>
      </c>
      <c r="B35">
        <v>7</v>
      </c>
      <c r="C35" s="1">
        <v>30</v>
      </c>
      <c r="D35" s="1">
        <v>20</v>
      </c>
      <c r="E35" s="1">
        <v>30</v>
      </c>
      <c r="F35" s="1">
        <v>-20</v>
      </c>
      <c r="G35" s="33" t="s">
        <v>8</v>
      </c>
    </row>
    <row r="36" spans="1:7" x14ac:dyDescent="0.25">
      <c r="A36">
        <v>5</v>
      </c>
      <c r="B36">
        <v>8</v>
      </c>
      <c r="C36" s="1">
        <v>30</v>
      </c>
      <c r="D36" s="1">
        <v>0</v>
      </c>
      <c r="E36" s="1">
        <v>30</v>
      </c>
      <c r="F36" s="1">
        <v>0</v>
      </c>
      <c r="G36" s="33" t="s">
        <v>9</v>
      </c>
    </row>
    <row r="37" spans="1:7" x14ac:dyDescent="0.25">
      <c r="A37">
        <v>5</v>
      </c>
      <c r="B37">
        <v>11</v>
      </c>
      <c r="C37" s="1">
        <v>30</v>
      </c>
      <c r="D37" s="1">
        <v>0</v>
      </c>
      <c r="E37" s="1">
        <v>50</v>
      </c>
      <c r="F37" s="1">
        <v>20</v>
      </c>
      <c r="G37" s="33" t="s">
        <v>12</v>
      </c>
    </row>
    <row r="38" spans="1:7" x14ac:dyDescent="0.25">
      <c r="A38">
        <v>6</v>
      </c>
      <c r="B38">
        <v>1</v>
      </c>
      <c r="C38" s="1">
        <v>30</v>
      </c>
      <c r="D38" s="1">
        <v>0</v>
      </c>
      <c r="E38" s="1">
        <v>25</v>
      </c>
      <c r="F38" s="1">
        <v>-5</v>
      </c>
      <c r="G38" s="33" t="s">
        <v>2</v>
      </c>
    </row>
    <row r="39" spans="1:7" x14ac:dyDescent="0.25">
      <c r="A39">
        <v>6</v>
      </c>
      <c r="B39">
        <v>3</v>
      </c>
      <c r="C39" s="1">
        <v>30</v>
      </c>
      <c r="D39" s="1">
        <v>40</v>
      </c>
      <c r="E39" s="1">
        <v>35</v>
      </c>
      <c r="F39" s="1">
        <v>-35</v>
      </c>
      <c r="G39" s="33" t="s">
        <v>4</v>
      </c>
    </row>
    <row r="40" spans="1:7" x14ac:dyDescent="0.25">
      <c r="A40">
        <v>6</v>
      </c>
      <c r="B40">
        <v>4</v>
      </c>
      <c r="C40" s="1">
        <v>30</v>
      </c>
      <c r="D40" s="1">
        <v>0</v>
      </c>
      <c r="E40" s="1">
        <v>105</v>
      </c>
      <c r="F40" s="1">
        <v>75</v>
      </c>
      <c r="G40" s="33" t="s">
        <v>5</v>
      </c>
    </row>
    <row r="41" spans="1:7" x14ac:dyDescent="0.25">
      <c r="A41">
        <v>6</v>
      </c>
      <c r="B41">
        <v>5</v>
      </c>
      <c r="C41" s="1">
        <v>30</v>
      </c>
      <c r="D41" s="1">
        <v>20</v>
      </c>
      <c r="E41" s="1">
        <v>30</v>
      </c>
      <c r="F41" s="1">
        <v>-20</v>
      </c>
      <c r="G41" s="33" t="s">
        <v>6</v>
      </c>
    </row>
    <row r="42" spans="1:7" x14ac:dyDescent="0.25">
      <c r="A42">
        <v>6</v>
      </c>
      <c r="B42">
        <v>6</v>
      </c>
      <c r="C42" s="1">
        <v>30</v>
      </c>
      <c r="D42" s="1">
        <v>0</v>
      </c>
      <c r="E42" s="1">
        <v>85</v>
      </c>
      <c r="F42" s="1">
        <v>55</v>
      </c>
      <c r="G42" s="33" t="s">
        <v>7</v>
      </c>
    </row>
    <row r="43" spans="1:7" x14ac:dyDescent="0.25">
      <c r="A43">
        <v>6</v>
      </c>
      <c r="B43">
        <v>7</v>
      </c>
      <c r="C43" s="1">
        <v>30</v>
      </c>
      <c r="D43" s="1">
        <v>20</v>
      </c>
      <c r="E43" s="1">
        <v>0</v>
      </c>
      <c r="F43" s="1">
        <v>-50</v>
      </c>
      <c r="G43" s="33" t="s">
        <v>8</v>
      </c>
    </row>
    <row r="44" spans="1:7" x14ac:dyDescent="0.25">
      <c r="A44">
        <v>6</v>
      </c>
      <c r="B44">
        <v>11</v>
      </c>
      <c r="C44" s="1">
        <v>30</v>
      </c>
      <c r="D44" s="1">
        <v>0</v>
      </c>
      <c r="E44" s="1">
        <v>10</v>
      </c>
      <c r="F44" s="1">
        <v>-20</v>
      </c>
      <c r="G44" s="33" t="s">
        <v>12</v>
      </c>
    </row>
    <row r="45" spans="1:7" x14ac:dyDescent="0.25">
      <c r="A45">
        <v>7</v>
      </c>
      <c r="B45">
        <v>1</v>
      </c>
      <c r="C45" s="1">
        <v>30</v>
      </c>
      <c r="D45" s="1">
        <v>0</v>
      </c>
      <c r="E45" s="1">
        <v>45</v>
      </c>
      <c r="F45" s="1">
        <v>15</v>
      </c>
      <c r="G45" s="33" t="s">
        <v>2</v>
      </c>
    </row>
    <row r="46" spans="1:7" x14ac:dyDescent="0.25">
      <c r="A46">
        <v>7</v>
      </c>
      <c r="B46">
        <v>3</v>
      </c>
      <c r="C46" s="1">
        <v>30</v>
      </c>
      <c r="D46" s="1">
        <v>0</v>
      </c>
      <c r="E46" s="1">
        <v>0</v>
      </c>
      <c r="F46" s="1">
        <v>-30</v>
      </c>
      <c r="G46" s="33" t="s">
        <v>4</v>
      </c>
    </row>
    <row r="47" spans="1:7" x14ac:dyDescent="0.25">
      <c r="A47">
        <v>7</v>
      </c>
      <c r="B47">
        <v>5</v>
      </c>
      <c r="C47" s="1">
        <v>30</v>
      </c>
      <c r="D47" s="1">
        <v>0</v>
      </c>
      <c r="E47" s="1">
        <v>40</v>
      </c>
      <c r="F47" s="1">
        <v>10</v>
      </c>
      <c r="G47" s="33" t="s">
        <v>6</v>
      </c>
    </row>
    <row r="48" spans="1:7" x14ac:dyDescent="0.25">
      <c r="A48">
        <v>7</v>
      </c>
      <c r="B48">
        <v>6</v>
      </c>
      <c r="C48" s="1">
        <v>30</v>
      </c>
      <c r="D48" s="1">
        <v>40</v>
      </c>
      <c r="E48" s="1">
        <v>70</v>
      </c>
      <c r="F48" s="1">
        <v>0</v>
      </c>
      <c r="G48" s="33" t="s">
        <v>7</v>
      </c>
    </row>
    <row r="49" spans="1:7" x14ac:dyDescent="0.25">
      <c r="A49">
        <v>7</v>
      </c>
      <c r="B49">
        <v>7</v>
      </c>
      <c r="C49" s="1">
        <v>30</v>
      </c>
      <c r="D49" s="1">
        <v>0</v>
      </c>
      <c r="E49" s="1">
        <v>65</v>
      </c>
      <c r="F49" s="1">
        <v>35</v>
      </c>
      <c r="G49" s="33" t="s">
        <v>8</v>
      </c>
    </row>
    <row r="50" spans="1:7" x14ac:dyDescent="0.25">
      <c r="A50">
        <v>7</v>
      </c>
      <c r="B50">
        <v>12</v>
      </c>
      <c r="C50" s="1">
        <v>30</v>
      </c>
      <c r="D50" s="1">
        <v>0</v>
      </c>
      <c r="E50" s="1">
        <v>0</v>
      </c>
      <c r="F50" s="1">
        <v>-30</v>
      </c>
      <c r="G50" s="33" t="s">
        <v>19</v>
      </c>
    </row>
    <row r="51" spans="1:7" x14ac:dyDescent="0.25">
      <c r="A51">
        <v>8</v>
      </c>
      <c r="B51">
        <v>1</v>
      </c>
      <c r="C51" s="1">
        <v>30</v>
      </c>
      <c r="D51" s="1">
        <v>20</v>
      </c>
      <c r="E51" s="1">
        <v>0</v>
      </c>
      <c r="F51" s="1">
        <v>-50</v>
      </c>
      <c r="G51" s="33" t="s">
        <v>2</v>
      </c>
    </row>
    <row r="52" spans="1:7" x14ac:dyDescent="0.25">
      <c r="A52">
        <v>8</v>
      </c>
      <c r="B52">
        <v>2</v>
      </c>
      <c r="C52" s="1">
        <v>30</v>
      </c>
      <c r="D52" s="1">
        <v>20</v>
      </c>
      <c r="E52" s="1">
        <v>45</v>
      </c>
      <c r="F52" s="1">
        <v>-5</v>
      </c>
      <c r="G52" s="33" t="s">
        <v>3</v>
      </c>
    </row>
    <row r="53" spans="1:7" x14ac:dyDescent="0.25">
      <c r="A53">
        <v>8</v>
      </c>
      <c r="B53">
        <v>3</v>
      </c>
      <c r="C53" s="1">
        <v>30</v>
      </c>
      <c r="D53" s="1">
        <v>20</v>
      </c>
      <c r="E53" s="1">
        <v>25</v>
      </c>
      <c r="F53" s="1">
        <v>-25</v>
      </c>
      <c r="G53" s="33" t="s">
        <v>4</v>
      </c>
    </row>
    <row r="54" spans="1:7" x14ac:dyDescent="0.25">
      <c r="A54">
        <v>8</v>
      </c>
      <c r="B54">
        <v>5</v>
      </c>
      <c r="C54" s="1">
        <v>30</v>
      </c>
      <c r="D54" s="1">
        <v>20</v>
      </c>
      <c r="E54" s="1">
        <v>115</v>
      </c>
      <c r="F54" s="1">
        <v>65</v>
      </c>
      <c r="G54" s="33" t="s">
        <v>6</v>
      </c>
    </row>
    <row r="55" spans="1:7" x14ac:dyDescent="0.25">
      <c r="A55">
        <v>8</v>
      </c>
      <c r="B55">
        <v>6</v>
      </c>
      <c r="C55" s="1">
        <v>30</v>
      </c>
      <c r="D55" s="1">
        <v>20</v>
      </c>
      <c r="E55" s="1">
        <v>140</v>
      </c>
      <c r="F55" s="1">
        <v>90</v>
      </c>
      <c r="G55" s="33" t="s">
        <v>7</v>
      </c>
    </row>
    <row r="56" spans="1:7" x14ac:dyDescent="0.25">
      <c r="A56">
        <v>8</v>
      </c>
      <c r="B56">
        <v>7</v>
      </c>
      <c r="C56" s="1">
        <v>30</v>
      </c>
      <c r="D56" s="1">
        <v>20</v>
      </c>
      <c r="E56" s="1">
        <v>50</v>
      </c>
      <c r="F56" s="1">
        <v>0</v>
      </c>
      <c r="G56" s="33" t="s">
        <v>8</v>
      </c>
    </row>
    <row r="57" spans="1:7" x14ac:dyDescent="0.25">
      <c r="A57">
        <v>8</v>
      </c>
      <c r="B57">
        <v>11</v>
      </c>
      <c r="C57" s="1">
        <v>30</v>
      </c>
      <c r="D57" s="1">
        <v>20</v>
      </c>
      <c r="E57" s="1">
        <v>0</v>
      </c>
      <c r="F57" s="1">
        <v>-50</v>
      </c>
      <c r="G57" s="33" t="s">
        <v>12</v>
      </c>
    </row>
    <row r="58" spans="1:7" x14ac:dyDescent="0.25">
      <c r="A58">
        <v>8</v>
      </c>
      <c r="B58">
        <v>12</v>
      </c>
      <c r="C58" s="1">
        <v>30</v>
      </c>
      <c r="D58" s="1">
        <v>20</v>
      </c>
      <c r="E58" s="1">
        <v>25</v>
      </c>
      <c r="F58" s="1">
        <v>-25</v>
      </c>
      <c r="G58" s="33" t="s">
        <v>19</v>
      </c>
    </row>
    <row r="59" spans="1:7" x14ac:dyDescent="0.25">
      <c r="A59">
        <v>9</v>
      </c>
      <c r="B59">
        <v>1</v>
      </c>
      <c r="C59" s="1">
        <v>30</v>
      </c>
      <c r="D59" s="1">
        <v>20</v>
      </c>
      <c r="E59" s="1">
        <v>45</v>
      </c>
      <c r="F59" s="1">
        <v>-5</v>
      </c>
      <c r="G59" s="33" t="s">
        <v>2</v>
      </c>
    </row>
    <row r="60" spans="1:7" x14ac:dyDescent="0.25">
      <c r="A60">
        <v>9</v>
      </c>
      <c r="B60">
        <v>2</v>
      </c>
      <c r="C60" s="1">
        <v>30</v>
      </c>
      <c r="D60" s="1">
        <v>20</v>
      </c>
      <c r="E60" s="1">
        <v>65</v>
      </c>
      <c r="F60" s="1">
        <v>15</v>
      </c>
      <c r="G60" s="33" t="s">
        <v>3</v>
      </c>
    </row>
    <row r="61" spans="1:7" x14ac:dyDescent="0.25">
      <c r="A61">
        <v>9</v>
      </c>
      <c r="B61">
        <v>3</v>
      </c>
      <c r="C61" s="1">
        <v>30</v>
      </c>
      <c r="D61" s="1">
        <v>20</v>
      </c>
      <c r="E61" s="1">
        <v>25</v>
      </c>
      <c r="F61" s="1">
        <v>-25</v>
      </c>
      <c r="G61" s="33" t="s">
        <v>4</v>
      </c>
    </row>
    <row r="62" spans="1:7" x14ac:dyDescent="0.25">
      <c r="A62">
        <v>9</v>
      </c>
      <c r="B62">
        <v>5</v>
      </c>
      <c r="C62" s="1">
        <v>30</v>
      </c>
      <c r="D62" s="1">
        <v>20</v>
      </c>
      <c r="E62" s="1">
        <v>50</v>
      </c>
      <c r="F62" s="1">
        <v>0</v>
      </c>
      <c r="G62" s="33" t="s">
        <v>6</v>
      </c>
    </row>
    <row r="63" spans="1:7" x14ac:dyDescent="0.25">
      <c r="A63">
        <v>9</v>
      </c>
      <c r="B63">
        <v>6</v>
      </c>
      <c r="C63" s="1">
        <v>30</v>
      </c>
      <c r="D63" s="1">
        <v>20</v>
      </c>
      <c r="E63" s="1">
        <v>0</v>
      </c>
      <c r="F63" s="1">
        <v>-50</v>
      </c>
      <c r="G63" s="33" t="s">
        <v>7</v>
      </c>
    </row>
    <row r="64" spans="1:7" x14ac:dyDescent="0.25">
      <c r="A64">
        <v>9</v>
      </c>
      <c r="B64">
        <v>8</v>
      </c>
      <c r="C64" s="1">
        <v>30</v>
      </c>
      <c r="D64" s="1">
        <v>20</v>
      </c>
      <c r="E64" s="1">
        <v>105</v>
      </c>
      <c r="F64" s="1">
        <v>55</v>
      </c>
      <c r="G64" s="33" t="s">
        <v>9</v>
      </c>
    </row>
    <row r="65" spans="1:7" x14ac:dyDescent="0.25">
      <c r="A65">
        <v>9</v>
      </c>
      <c r="B65">
        <v>11</v>
      </c>
      <c r="C65" s="1">
        <v>30</v>
      </c>
      <c r="D65" s="1">
        <v>20</v>
      </c>
      <c r="E65" s="1">
        <v>60</v>
      </c>
      <c r="F65" s="1">
        <v>10</v>
      </c>
      <c r="G65" s="33" t="s">
        <v>12</v>
      </c>
    </row>
    <row r="66" spans="1:7" x14ac:dyDescent="0.25">
      <c r="A66">
        <v>10</v>
      </c>
      <c r="B66">
        <v>1</v>
      </c>
      <c r="C66" s="1">
        <v>30</v>
      </c>
      <c r="D66" s="1">
        <v>20</v>
      </c>
      <c r="E66" s="1">
        <v>10</v>
      </c>
      <c r="F66" s="1">
        <v>-40</v>
      </c>
      <c r="G66" s="33" t="s">
        <v>2</v>
      </c>
    </row>
    <row r="67" spans="1:7" x14ac:dyDescent="0.25">
      <c r="A67">
        <v>10</v>
      </c>
      <c r="B67">
        <v>2</v>
      </c>
      <c r="C67" s="1">
        <v>30</v>
      </c>
      <c r="D67" s="1">
        <v>20</v>
      </c>
      <c r="E67" s="1">
        <v>25</v>
      </c>
      <c r="F67" s="1">
        <v>-25</v>
      </c>
      <c r="G67" s="33" t="s">
        <v>3</v>
      </c>
    </row>
    <row r="68" spans="1:7" x14ac:dyDescent="0.25">
      <c r="A68">
        <v>10</v>
      </c>
      <c r="B68">
        <v>3</v>
      </c>
      <c r="C68" s="1">
        <v>30</v>
      </c>
      <c r="D68" s="1">
        <v>20</v>
      </c>
      <c r="E68" s="1">
        <v>80</v>
      </c>
      <c r="F68" s="1">
        <v>30</v>
      </c>
      <c r="G68" s="33" t="s">
        <v>4</v>
      </c>
    </row>
    <row r="69" spans="1:7" x14ac:dyDescent="0.25">
      <c r="A69">
        <v>10</v>
      </c>
      <c r="B69">
        <v>5</v>
      </c>
      <c r="C69" s="1">
        <v>30</v>
      </c>
      <c r="D69" s="1">
        <v>20</v>
      </c>
      <c r="E69" s="1">
        <v>35</v>
      </c>
      <c r="F69" s="1">
        <v>-15</v>
      </c>
      <c r="G69" s="33" t="s">
        <v>6</v>
      </c>
    </row>
    <row r="70" spans="1:7" x14ac:dyDescent="0.25">
      <c r="A70">
        <v>10</v>
      </c>
      <c r="B70">
        <v>6</v>
      </c>
      <c r="C70" s="1">
        <v>30</v>
      </c>
      <c r="D70" s="1">
        <v>20</v>
      </c>
      <c r="E70" s="1">
        <v>85</v>
      </c>
      <c r="F70" s="1">
        <v>35</v>
      </c>
      <c r="G70" s="33" t="s">
        <v>7</v>
      </c>
    </row>
    <row r="71" spans="1:7" x14ac:dyDescent="0.25">
      <c r="A71">
        <v>10</v>
      </c>
      <c r="B71">
        <v>8</v>
      </c>
      <c r="C71" s="1">
        <v>30</v>
      </c>
      <c r="D71" s="1">
        <v>20</v>
      </c>
      <c r="E71" s="1">
        <v>65</v>
      </c>
      <c r="F71" s="1">
        <v>15</v>
      </c>
      <c r="G71" s="33" t="s">
        <v>9</v>
      </c>
    </row>
    <row r="72" spans="1:7" x14ac:dyDescent="0.25">
      <c r="A72">
        <v>10</v>
      </c>
      <c r="B72">
        <v>11</v>
      </c>
      <c r="C72" s="1">
        <v>30</v>
      </c>
      <c r="D72" s="1">
        <v>20</v>
      </c>
      <c r="E72" s="1">
        <v>50</v>
      </c>
      <c r="F72" s="1">
        <v>0</v>
      </c>
      <c r="G72" s="33" t="s">
        <v>12</v>
      </c>
    </row>
    <row r="73" spans="1:7" x14ac:dyDescent="0.25">
      <c r="A73">
        <v>11</v>
      </c>
      <c r="B73">
        <v>1</v>
      </c>
      <c r="C73" s="1">
        <v>30</v>
      </c>
      <c r="D73" s="1">
        <v>20</v>
      </c>
      <c r="E73" s="1">
        <v>55</v>
      </c>
      <c r="F73" s="1">
        <v>5</v>
      </c>
      <c r="G73" s="33" t="s">
        <v>2</v>
      </c>
    </row>
    <row r="74" spans="1:7" x14ac:dyDescent="0.25">
      <c r="A74">
        <v>11</v>
      </c>
      <c r="B74">
        <v>2</v>
      </c>
      <c r="C74" s="1">
        <v>30</v>
      </c>
      <c r="D74" s="1">
        <v>20</v>
      </c>
      <c r="E74" s="1">
        <v>70</v>
      </c>
      <c r="F74" s="1">
        <v>20</v>
      </c>
      <c r="G74" s="33" t="s">
        <v>3</v>
      </c>
    </row>
    <row r="75" spans="1:7" x14ac:dyDescent="0.25">
      <c r="A75">
        <v>11</v>
      </c>
      <c r="B75">
        <v>3</v>
      </c>
      <c r="C75" s="1">
        <v>30</v>
      </c>
      <c r="D75" s="1">
        <v>20</v>
      </c>
      <c r="E75" s="1">
        <v>40</v>
      </c>
      <c r="F75" s="1">
        <v>-10</v>
      </c>
      <c r="G75" s="33" t="s">
        <v>4</v>
      </c>
    </row>
    <row r="76" spans="1:7" x14ac:dyDescent="0.25">
      <c r="A76">
        <v>11</v>
      </c>
      <c r="B76">
        <v>5</v>
      </c>
      <c r="C76" s="1">
        <v>30</v>
      </c>
      <c r="D76" s="1">
        <v>20</v>
      </c>
      <c r="E76" s="1">
        <v>30</v>
      </c>
      <c r="F76" s="1">
        <v>-20</v>
      </c>
      <c r="G76" s="33" t="s">
        <v>6</v>
      </c>
    </row>
    <row r="77" spans="1:7" x14ac:dyDescent="0.25">
      <c r="A77">
        <v>11</v>
      </c>
      <c r="B77">
        <v>6</v>
      </c>
      <c r="C77" s="1">
        <v>30</v>
      </c>
      <c r="D77" s="1">
        <v>20</v>
      </c>
      <c r="E77" s="1">
        <v>60</v>
      </c>
      <c r="F77" s="1">
        <v>10</v>
      </c>
      <c r="G77" s="33" t="s">
        <v>7</v>
      </c>
    </row>
    <row r="78" spans="1:7" x14ac:dyDescent="0.25">
      <c r="A78">
        <v>11</v>
      </c>
      <c r="B78">
        <v>7</v>
      </c>
      <c r="C78" s="1">
        <v>30</v>
      </c>
      <c r="D78" s="1">
        <v>20</v>
      </c>
      <c r="E78" s="1">
        <v>55</v>
      </c>
      <c r="F78" s="1">
        <v>5</v>
      </c>
      <c r="G78" s="33" t="s">
        <v>8</v>
      </c>
    </row>
    <row r="79" spans="1:7" x14ac:dyDescent="0.25">
      <c r="A79">
        <v>11</v>
      </c>
      <c r="B79">
        <v>11</v>
      </c>
      <c r="C79" s="1">
        <v>30</v>
      </c>
      <c r="D79" s="1">
        <v>20</v>
      </c>
      <c r="E79" s="1">
        <v>90</v>
      </c>
      <c r="F79" s="1">
        <v>40</v>
      </c>
      <c r="G79" s="33" t="s">
        <v>12</v>
      </c>
    </row>
    <row r="80" spans="1:7" x14ac:dyDescent="0.25">
      <c r="A80">
        <v>11</v>
      </c>
      <c r="B80">
        <v>12</v>
      </c>
      <c r="C80" s="1">
        <v>30</v>
      </c>
      <c r="D80" s="1">
        <v>20</v>
      </c>
      <c r="E80" s="1">
        <v>0</v>
      </c>
      <c r="F80" s="1">
        <v>-50</v>
      </c>
      <c r="G80" s="33" t="s">
        <v>19</v>
      </c>
    </row>
    <row r="81" spans="1:7" x14ac:dyDescent="0.25">
      <c r="A81">
        <v>12</v>
      </c>
      <c r="B81">
        <v>1</v>
      </c>
      <c r="C81" s="1">
        <v>30</v>
      </c>
      <c r="D81" s="1">
        <v>20</v>
      </c>
      <c r="E81" s="1">
        <v>65</v>
      </c>
      <c r="F81" s="1">
        <v>15</v>
      </c>
      <c r="G81" s="33" t="s">
        <v>2</v>
      </c>
    </row>
    <row r="82" spans="1:7" x14ac:dyDescent="0.25">
      <c r="A82">
        <v>12</v>
      </c>
      <c r="B82">
        <v>2</v>
      </c>
      <c r="C82" s="1">
        <v>30</v>
      </c>
      <c r="D82" s="1">
        <v>20</v>
      </c>
      <c r="E82" s="1">
        <v>70</v>
      </c>
      <c r="F82" s="1">
        <v>20</v>
      </c>
      <c r="G82" s="33" t="s">
        <v>3</v>
      </c>
    </row>
    <row r="83" spans="1:7" x14ac:dyDescent="0.25">
      <c r="A83">
        <v>12</v>
      </c>
      <c r="B83">
        <v>3</v>
      </c>
      <c r="C83" s="1">
        <v>30</v>
      </c>
      <c r="D83" s="1">
        <v>20</v>
      </c>
      <c r="E83" s="1">
        <v>50</v>
      </c>
      <c r="F83" s="1">
        <v>0</v>
      </c>
      <c r="G83" s="33" t="s">
        <v>4</v>
      </c>
    </row>
    <row r="84" spans="1:7" x14ac:dyDescent="0.25">
      <c r="A84">
        <v>12</v>
      </c>
      <c r="B84">
        <v>4</v>
      </c>
      <c r="C84" s="1">
        <v>30</v>
      </c>
      <c r="D84" s="1">
        <v>20</v>
      </c>
      <c r="E84" s="1">
        <v>0</v>
      </c>
      <c r="F84" s="1">
        <v>-50</v>
      </c>
      <c r="G84" s="33" t="s">
        <v>5</v>
      </c>
    </row>
    <row r="85" spans="1:7" x14ac:dyDescent="0.25">
      <c r="A85">
        <v>12</v>
      </c>
      <c r="B85">
        <v>5</v>
      </c>
      <c r="C85" s="1">
        <v>30</v>
      </c>
      <c r="D85" s="1">
        <v>20</v>
      </c>
      <c r="E85" s="1">
        <v>45</v>
      </c>
      <c r="F85" s="1">
        <v>-5</v>
      </c>
      <c r="G85" s="33" t="s">
        <v>6</v>
      </c>
    </row>
    <row r="86" spans="1:7" x14ac:dyDescent="0.25">
      <c r="A86">
        <v>12</v>
      </c>
      <c r="B86">
        <v>6</v>
      </c>
      <c r="C86" s="1">
        <v>30</v>
      </c>
      <c r="D86" s="1">
        <v>20</v>
      </c>
      <c r="E86" s="1">
        <v>125</v>
      </c>
      <c r="F86" s="1">
        <v>75</v>
      </c>
      <c r="G86" s="33" t="s">
        <v>7</v>
      </c>
    </row>
    <row r="87" spans="1:7" x14ac:dyDescent="0.25">
      <c r="A87">
        <v>12</v>
      </c>
      <c r="B87">
        <v>7</v>
      </c>
      <c r="C87" s="1">
        <v>30</v>
      </c>
      <c r="D87" s="1">
        <v>20</v>
      </c>
      <c r="E87" s="1">
        <v>50</v>
      </c>
      <c r="F87" s="1">
        <v>0</v>
      </c>
      <c r="G87" s="33" t="s">
        <v>8</v>
      </c>
    </row>
    <row r="88" spans="1:7" x14ac:dyDescent="0.25">
      <c r="A88">
        <v>12</v>
      </c>
      <c r="B88">
        <v>8</v>
      </c>
      <c r="C88" s="1">
        <v>30</v>
      </c>
      <c r="D88" s="1">
        <v>20</v>
      </c>
      <c r="E88" s="1">
        <v>0</v>
      </c>
      <c r="F88" s="1">
        <v>-50</v>
      </c>
      <c r="G88" s="33" t="s">
        <v>9</v>
      </c>
    </row>
    <row r="89" spans="1:7" x14ac:dyDescent="0.25">
      <c r="A89" t="s">
        <v>20</v>
      </c>
      <c r="C89" s="1">
        <f>SUBTOTAL(109,qry_Player_Game_Stats[BuyIn])</f>
        <v>2610</v>
      </c>
      <c r="D89" s="1">
        <f>SUBTOTAL(109,qry_Player_Game_Stats[Rebuy])</f>
        <v>1270</v>
      </c>
      <c r="E89" s="1">
        <f>SUBTOTAL(109,qry_Player_Game_Stats[CashOut])</f>
        <v>3830</v>
      </c>
      <c r="F89" s="1">
        <f>SUBTOTAL(109,qry_Player_Game_Stats[ROI])</f>
        <v>-50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CE301-3945-44AE-BC3F-C37DA00F64AC}">
  <dimension ref="A1:B12"/>
  <sheetViews>
    <sheetView topLeftCell="A7" workbookViewId="0">
      <selection activeCell="B7" sqref="B7"/>
    </sheetView>
  </sheetViews>
  <sheetFormatPr defaultRowHeight="15" x14ac:dyDescent="0.25"/>
  <cols>
    <col min="1" max="1" width="18" bestFit="1" customWidth="1"/>
    <col min="2" max="2" width="21.42578125" bestFit="1" customWidth="1"/>
  </cols>
  <sheetData>
    <row r="1" spans="1:2" x14ac:dyDescent="0.25">
      <c r="A1" s="3" t="s">
        <v>43</v>
      </c>
      <c r="B1" s="4" t="s">
        <v>63</v>
      </c>
    </row>
    <row r="2" spans="1:2" x14ac:dyDescent="0.25">
      <c r="A2" s="5" t="s">
        <v>7</v>
      </c>
      <c r="B2" s="6">
        <v>235</v>
      </c>
    </row>
    <row r="3" spans="1:2" x14ac:dyDescent="0.25">
      <c r="A3" s="5" t="s">
        <v>3</v>
      </c>
      <c r="B3" s="6">
        <v>125</v>
      </c>
    </row>
    <row r="4" spans="1:2" x14ac:dyDescent="0.25">
      <c r="A4" s="5" t="s">
        <v>2</v>
      </c>
      <c r="B4" s="6">
        <v>50</v>
      </c>
    </row>
    <row r="5" spans="1:2" x14ac:dyDescent="0.25">
      <c r="A5" s="5" t="s">
        <v>8</v>
      </c>
      <c r="B5" s="6">
        <v>30</v>
      </c>
    </row>
    <row r="6" spans="1:2" x14ac:dyDescent="0.25">
      <c r="A6" s="5" t="s">
        <v>12</v>
      </c>
      <c r="B6" s="6">
        <v>-45</v>
      </c>
    </row>
    <row r="7" spans="1:2" x14ac:dyDescent="0.25">
      <c r="A7" s="5" t="s">
        <v>5</v>
      </c>
      <c r="B7" s="6">
        <v>-60</v>
      </c>
    </row>
    <row r="8" spans="1:2" x14ac:dyDescent="0.25">
      <c r="A8" s="5" t="s">
        <v>9</v>
      </c>
      <c r="B8" s="6">
        <v>-80</v>
      </c>
    </row>
    <row r="9" spans="1:2" x14ac:dyDescent="0.25">
      <c r="A9" s="5" t="s">
        <v>6</v>
      </c>
      <c r="B9" s="6">
        <v>-95</v>
      </c>
    </row>
    <row r="10" spans="1:2" x14ac:dyDescent="0.25">
      <c r="A10" s="5" t="s">
        <v>4</v>
      </c>
      <c r="B10" s="6">
        <v>-105</v>
      </c>
    </row>
    <row r="11" spans="1:2" x14ac:dyDescent="0.25">
      <c r="A11" s="5" t="s">
        <v>19</v>
      </c>
      <c r="B11" s="6">
        <v>-105</v>
      </c>
    </row>
    <row r="12" spans="1:2" x14ac:dyDescent="0.25">
      <c r="A12" s="5" t="s">
        <v>18</v>
      </c>
      <c r="B12" s="6">
        <v>-50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E4DD822A-4163-4CD9-A0D7-B0A83C19D36C}">
  <ds:schemaRefs/>
</ds:datastoreItem>
</file>

<file path=customXml/itemProps2.xml><?xml version="1.0" encoding="utf-8"?>
<ds:datastoreItem xmlns:ds="http://schemas.openxmlformats.org/officeDocument/2006/customXml" ds:itemID="{FB0A2152-370C-423B-ABDF-4E5B917EED50}">
  <ds:schemaRefs/>
</ds:datastoreItem>
</file>

<file path=customXml/itemProps3.xml><?xml version="1.0" encoding="utf-8"?>
<ds:datastoreItem xmlns:ds="http://schemas.openxmlformats.org/officeDocument/2006/customXml" ds:itemID="{6DED8B6B-928E-472A-85EF-51D6AC32C004}">
  <ds:schemaRefs/>
</ds:datastoreItem>
</file>

<file path=customXml/itemProps4.xml><?xml version="1.0" encoding="utf-8"?>
<ds:datastoreItem xmlns:ds="http://schemas.openxmlformats.org/officeDocument/2006/customXml" ds:itemID="{64E0011E-01AE-4F2E-AFAD-990D974B5E40}">
  <ds:schemaRefs/>
</ds:datastoreItem>
</file>

<file path=customXml/itemProps5.xml><?xml version="1.0" encoding="utf-8"?>
<ds:datastoreItem xmlns:ds="http://schemas.openxmlformats.org/officeDocument/2006/customXml" ds:itemID="{5088E64E-04E5-4F4E-9D86-720F277BFA02}">
  <ds:schemaRefs/>
</ds:datastoreItem>
</file>

<file path=customXml/itemProps6.xml><?xml version="1.0" encoding="utf-8"?>
<ds:datastoreItem xmlns:ds="http://schemas.openxmlformats.org/officeDocument/2006/customXml" ds:itemID="{399692C2-E30F-49D2-9780-6E4D69D49614}">
  <ds:schemaRefs/>
</ds:datastoreItem>
</file>

<file path=customXml/itemProps7.xml><?xml version="1.0" encoding="utf-8"?>
<ds:datastoreItem xmlns:ds="http://schemas.openxmlformats.org/officeDocument/2006/customXml" ds:itemID="{E5FDCA03-C120-4611-B039-472D56F094FD}">
  <ds:schemaRefs/>
</ds:datastoreItem>
</file>

<file path=customXml/itemProps8.xml><?xml version="1.0" encoding="utf-8"?>
<ds:datastoreItem xmlns:ds="http://schemas.openxmlformats.org/officeDocument/2006/customXml" ds:itemID="{2972A693-C4F0-4880-9781-DC7E5D6A041D}">
  <ds:schemaRefs/>
</ds:datastoreItem>
</file>

<file path=customXml/itemProps9.xml><?xml version="1.0" encoding="utf-8"?>
<ds:datastoreItem xmlns:ds="http://schemas.openxmlformats.org/officeDocument/2006/customXml" ds:itemID="{E22527E4-B860-4535-B17A-A93D3655B951}">
  <ds:schemaRefs/>
</ds:datastoreItem>
</file>

<file path=customXml/itemProps10.xml><?xml version="1.0" encoding="utf-8"?>
<ds:datastoreItem xmlns:ds="http://schemas.openxmlformats.org/officeDocument/2006/customXml" ds:itemID="{BDB42571-C5C3-4104-8C92-59E174E10DA2}">
  <ds:schemaRefs/>
</ds:datastoreItem>
</file>

<file path=customXml/itemProps11.xml><?xml version="1.0" encoding="utf-8"?>
<ds:datastoreItem xmlns:ds="http://schemas.openxmlformats.org/officeDocument/2006/customXml" ds:itemID="{16C5737E-864C-4E09-840C-00132DF78373}">
  <ds:schemaRefs/>
</ds:datastoreItem>
</file>

<file path=customXml/itemProps12.xml><?xml version="1.0" encoding="utf-8"?>
<ds:datastoreItem xmlns:ds="http://schemas.openxmlformats.org/officeDocument/2006/customXml" ds:itemID="{AF752C8A-BF7C-46A3-ABB5-D2E379A5FC7B}">
  <ds:schemaRefs/>
</ds:datastoreItem>
</file>

<file path=customXml/itemProps13.xml><?xml version="1.0" encoding="utf-8"?>
<ds:datastoreItem xmlns:ds="http://schemas.openxmlformats.org/officeDocument/2006/customXml" ds:itemID="{067AED0F-322C-4C88-A1DC-251216C822D1}">
  <ds:schemaRefs/>
</ds:datastoreItem>
</file>

<file path=customXml/itemProps14.xml><?xml version="1.0" encoding="utf-8"?>
<ds:datastoreItem xmlns:ds="http://schemas.openxmlformats.org/officeDocument/2006/customXml" ds:itemID="{C894BA95-1995-400D-A208-11DC5B90D09E}">
  <ds:schemaRefs/>
</ds:datastoreItem>
</file>

<file path=customXml/itemProps15.xml><?xml version="1.0" encoding="utf-8"?>
<ds:datastoreItem xmlns:ds="http://schemas.openxmlformats.org/officeDocument/2006/customXml" ds:itemID="{CB20A191-66C0-4844-8DC0-E52381454311}">
  <ds:schemaRefs/>
</ds:datastoreItem>
</file>

<file path=customXml/itemProps16.xml><?xml version="1.0" encoding="utf-8"?>
<ds:datastoreItem xmlns:ds="http://schemas.openxmlformats.org/officeDocument/2006/customXml" ds:itemID="{20D7618C-F06D-438C-AC4E-D243BF483AAA}">
  <ds:schemaRefs/>
</ds:datastoreItem>
</file>

<file path=customXml/itemProps17.xml><?xml version="1.0" encoding="utf-8"?>
<ds:datastoreItem xmlns:ds="http://schemas.openxmlformats.org/officeDocument/2006/customXml" ds:itemID="{8ACF3527-FDDD-4859-9E5D-941BB7B79524}">
  <ds:schemaRefs/>
</ds:datastoreItem>
</file>

<file path=customXml/itemProps18.xml><?xml version="1.0" encoding="utf-8"?>
<ds:datastoreItem xmlns:ds="http://schemas.openxmlformats.org/officeDocument/2006/customXml" ds:itemID="{69E76DC4-83E5-4FEB-860C-2098AEFB3AB5}">
  <ds:schemaRefs/>
</ds:datastoreItem>
</file>

<file path=customXml/itemProps19.xml><?xml version="1.0" encoding="utf-8"?>
<ds:datastoreItem xmlns:ds="http://schemas.openxmlformats.org/officeDocument/2006/customXml" ds:itemID="{DBF639B8-23C1-467F-B91C-303D727B934C}">
  <ds:schemaRefs/>
</ds:datastoreItem>
</file>

<file path=customXml/itemProps20.xml><?xml version="1.0" encoding="utf-8"?>
<ds:datastoreItem xmlns:ds="http://schemas.openxmlformats.org/officeDocument/2006/customXml" ds:itemID="{C04DCE70-D88D-459D-B9C0-FAF7324E72A5}">
  <ds:schemaRefs/>
</ds:datastoreItem>
</file>

<file path=customXml/itemProps21.xml><?xml version="1.0" encoding="utf-8"?>
<ds:datastoreItem xmlns:ds="http://schemas.openxmlformats.org/officeDocument/2006/customXml" ds:itemID="{3DCDEB18-18D3-4536-9644-AD6546AB4EC2}">
  <ds:schemaRefs/>
</ds:datastoreItem>
</file>

<file path=customXml/itemProps22.xml><?xml version="1.0" encoding="utf-8"?>
<ds:datastoreItem xmlns:ds="http://schemas.openxmlformats.org/officeDocument/2006/customXml" ds:itemID="{06A11BA8-1329-4F17-A6F7-16AC81B74ED4}">
  <ds:schemaRefs/>
</ds:datastoreItem>
</file>

<file path=customXml/itemProps23.xml><?xml version="1.0" encoding="utf-8"?>
<ds:datastoreItem xmlns:ds="http://schemas.openxmlformats.org/officeDocument/2006/customXml" ds:itemID="{3E56DDF0-C0AB-4E6B-BC9D-29A7E88EE79F}">
  <ds:schemaRefs/>
</ds:datastoreItem>
</file>

<file path=customXml/itemProps24.xml><?xml version="1.0" encoding="utf-8"?>
<ds:datastoreItem xmlns:ds="http://schemas.openxmlformats.org/officeDocument/2006/customXml" ds:itemID="{F6498384-A532-4A44-872F-6DB322D4F751}">
  <ds:schemaRefs/>
</ds:datastoreItem>
</file>

<file path=customXml/itemProps25.xml><?xml version="1.0" encoding="utf-8"?>
<ds:datastoreItem xmlns:ds="http://schemas.openxmlformats.org/officeDocument/2006/customXml" ds:itemID="{DF58596F-2530-48F5-BF43-98BE0FDA55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4</vt:i4>
      </vt:variant>
    </vt:vector>
  </HeadingPairs>
  <TitlesOfParts>
    <vt:vector size="14" baseType="lpstr">
      <vt:lpstr>Player_Game_Stats</vt:lpstr>
      <vt:lpstr>Champions League Payment 2026</vt:lpstr>
      <vt:lpstr>qry_Players</vt:lpstr>
      <vt:lpstr>qry_Game_Number</vt:lpstr>
      <vt:lpstr>qry_Player_Game_Stats_2026</vt:lpstr>
      <vt:lpstr>Top 10 per player for 2025 and </vt:lpstr>
      <vt:lpstr>Players Top 10 for 2026</vt:lpstr>
      <vt:lpstr>List of Cashouts per player for</vt:lpstr>
      <vt:lpstr>qry_Player_Game_Stats</vt:lpstr>
      <vt:lpstr>Sum of ROI</vt:lpstr>
      <vt:lpstr>Chart AVG cash out</vt:lpstr>
      <vt:lpstr>Chart League Payments 2026</vt:lpstr>
      <vt:lpstr>Chart of League Points 2026</vt:lpstr>
      <vt:lpstr>Chart of Hosts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Lynch</dc:creator>
  <cp:lastModifiedBy>Ciaran Lynch</cp:lastModifiedBy>
  <cp:lastPrinted>2026-03-06T16:55:29Z</cp:lastPrinted>
  <dcterms:created xsi:type="dcterms:W3CDTF">2026-01-03T10:30:32Z</dcterms:created>
  <dcterms:modified xsi:type="dcterms:W3CDTF">2026-04-04T14:55:59Z</dcterms:modified>
</cp:coreProperties>
</file>