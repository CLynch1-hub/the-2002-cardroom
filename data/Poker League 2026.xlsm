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A561A80C-79F2-4ADF-A96E-E7AD6C9375E5}" xr6:coauthVersionLast="47" xr6:coauthVersionMax="47" xr10:uidLastSave="{00000000-0000-0000-0000-000000000000}"/>
  <bookViews>
    <workbookView xWindow="-120" yWindow="-120" windowWidth="29040" windowHeight="15840" firstSheet="6" activeTab="8" xr2:uid="{06FE5760-65FE-48A1-A895-CC350D9C2D98}"/>
  </bookViews>
  <sheets>
    <sheet name="Player_Game_Stats" sheetId="4" state="hidden" r:id="rId1"/>
    <sheet name="Chart of League Points 2026" sheetId="29" r:id="rId2"/>
    <sheet name="Chart AVG cash out" sheetId="26" r:id="rId3"/>
    <sheet name="Chart of Hosts" sheetId="28" r:id="rId4"/>
    <sheet name="League Payment 2026" sheetId="12" r:id="rId5"/>
    <sheet name="qry_Players" sheetId="21" r:id="rId6"/>
    <sheet name="qry_Game_Number" sheetId="22" r:id="rId7"/>
    <sheet name="qry_Player_Game_Stats_2026" sheetId="23" r:id="rId8"/>
    <sheet name="Top 10 per player for 2025 and " sheetId="24" r:id="rId9"/>
    <sheet name="Players Top 10 for 2026" sheetId="30" r:id="rId10"/>
  </sheets>
  <definedNames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5" hidden="1">qry_Players!$A$1:$B$13</definedName>
    <definedName name="ExternalData_2" localSheetId="9" hidden="1">'Players Top 10 for 2026'!$A$1:$E$10</definedName>
    <definedName name="ExternalData_2" localSheetId="6" hidden="1">qry_Game_Number!$A$1:$D$10</definedName>
    <definedName name="ExternalData_3" localSheetId="7" hidden="1">qry_Player_Game_Stats_2026!$A$1:$H$16</definedName>
    <definedName name="ExternalData_4" localSheetId="8" hidden="1">'Top 10 per player for 2025 and '!$A$1:$E$11</definedName>
  </definedNames>
  <calcPr calcId="191029"/>
  <pivotCaches>
    <pivotCache cacheId="250" r:id="rId11"/>
    <pivotCache cacheId="253" r:id="rId12"/>
    <pivotCache cacheId="256" r:id="rId13"/>
    <pivotCache cacheId="260" r:id="rId14"/>
  </pivotCaches>
  <extLst>
    <ext xmlns:x15="http://schemas.microsoft.com/office/spreadsheetml/2010/11/main" uri="{841E416B-1EF1-43b6-AB56-02D37102CBD5}">
      <x15:pivotCaches>
        <pivotCache cacheId="247" r:id="rId15"/>
      </x15:pivotCaches>
    </ext>
    <ext xmlns:x15="http://schemas.microsoft.com/office/spreadsheetml/2010/11/main" uri="{983426D0-5260-488c-9760-48F4B6AC55F4}">
      <x15:pivotTableReferences>
        <x15:pivotTableReference r:id="rId1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qry_Players" name="qry_Players" connection="WorksheetConnection_Poker League 2026.xlsm!qry_Players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23" l="1"/>
  <c r="E17" i="23"/>
  <c r="F17" i="23"/>
  <c r="H17" i="23"/>
  <c r="C12" i="24"/>
  <c r="D12" i="24"/>
  <c r="E12" i="24"/>
  <c r="Q15" i="12" l="1"/>
  <c r="Q3" i="12"/>
  <c r="Q4" i="12"/>
  <c r="Q5" i="12"/>
  <c r="Q6" i="12"/>
  <c r="Q7" i="12"/>
  <c r="Q8" i="12"/>
  <c r="Q9" i="12"/>
  <c r="Q10" i="12"/>
  <c r="Q11" i="12"/>
  <c r="Q12" i="12"/>
  <c r="Q13" i="12"/>
  <c r="Q14" i="12"/>
  <c r="C15" i="12"/>
  <c r="E15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6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7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8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9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0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1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<sst xmlns="http://schemas.openxmlformats.org/spreadsheetml/2006/main" count="166" uniqueCount="58">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</sst>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"/>
    <numFmt numFmtId="165" formatCode="0_ ;\-0\ "/>
    <numFmt numFmtId="166" formatCode="&quot;€&quot;#,##0.00;\-&quot;€&quot;#,##0.00;&quot;€&quot;#,##0.00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1" xfId="0" applyNumberFormat="1" applyBorder="1"/>
    <xf numFmtId="165" fontId="0" fillId="0" borderId="1" xfId="0" applyNumberFormat="1" applyBorder="1"/>
    <xf numFmtId="0" fontId="3" fillId="0" borderId="2" xfId="0" applyFont="1" applyBorder="1" applyAlignment="1">
      <alignment horizontal="center"/>
    </xf>
    <xf numFmtId="166" fontId="0" fillId="0" borderId="1" xfId="0" applyNumberFormat="1" applyBorder="1"/>
    <xf numFmtId="0" fontId="3" fillId="0" borderId="2" xfId="0" applyFont="1" applyFill="1" applyBorder="1" applyAlignment="1">
      <alignment horizontal="center"/>
    </xf>
  </cellXfs>
  <cellStyles count="1">
    <cellStyle name="Normal" xfId="0" builtinId="0"/>
  </cellStyles>
  <dxfs count="62"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3" Type="http://schemas.openxmlformats.org/officeDocument/2006/relationships/chartsheet" Target="chartsheets/sheet2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7" Type="http://schemas.openxmlformats.org/officeDocument/2006/relationships/worksheet" Target="worksheets/sheet4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chartsheet" Target="chartsheets/sheet1.xml"/><Relationship Id="rId16" Type="http://schemas.openxmlformats.org/officeDocument/2006/relationships/pivotTable" Target="pivotTables/pivotTable1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" Type="http://schemas.openxmlformats.org/officeDocument/2006/relationships/worksheet" Target="worksheets/sheet2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7.xml"/><Relationship Id="rId19" Type="http://schemas.openxmlformats.org/officeDocument/2006/relationships/styles" Target="style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6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qry_Player_Game_Stats_2026!$K$3:$K$12</c:f>
              <c:strCache>
                <c:ptCount val="9"/>
                <c:pt idx="0">
                  <c:v>Morgan Mooney</c:v>
                </c:pt>
                <c:pt idx="1">
                  <c:v>Kevin Lee</c:v>
                </c:pt>
                <c:pt idx="2">
                  <c:v>Ciaran Lynch</c:v>
                </c:pt>
                <c:pt idx="3">
                  <c:v>Steven Black</c:v>
                </c:pt>
                <c:pt idx="4">
                  <c:v>Mark Hunter</c:v>
                </c:pt>
                <c:pt idx="5">
                  <c:v>Barry Hunter</c:v>
                </c:pt>
                <c:pt idx="6">
                  <c:v>Brendan Stevenson</c:v>
                </c:pt>
                <c:pt idx="7">
                  <c:v>Martin Hunter</c:v>
                </c:pt>
                <c:pt idx="8">
                  <c:v>Ryan Mc Elchar</c:v>
                </c:pt>
              </c:strCache>
            </c:strRef>
          </c:cat>
          <c:val>
            <c:numRef>
              <c:f>qry_Player_Game_Stats_2026!$L$3:$L$12</c:f>
              <c:numCache>
                <c:formatCode>0_ ;\-0\ </c:formatCode>
                <c:ptCount val="9"/>
                <c:pt idx="0">
                  <c:v>8250</c:v>
                </c:pt>
                <c:pt idx="1">
                  <c:v>7000</c:v>
                </c:pt>
                <c:pt idx="2">
                  <c:v>5500</c:v>
                </c:pt>
                <c:pt idx="3">
                  <c:v>5250</c:v>
                </c:pt>
                <c:pt idx="4">
                  <c:v>3000</c:v>
                </c:pt>
                <c:pt idx="5">
                  <c:v>2500</c:v>
                </c:pt>
                <c:pt idx="6">
                  <c:v>2500</c:v>
                </c:pt>
                <c:pt idx="7">
                  <c:v>2250</c:v>
                </c:pt>
                <c:pt idx="8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Ciaran Lynch</c:v>
                </c:pt>
                <c:pt idx="1">
                  <c:v>Kevin Lee</c:v>
                </c:pt>
                <c:pt idx="2">
                  <c:v>Brendan Stevenson</c:v>
                </c:pt>
                <c:pt idx="3">
                  <c:v>Martin Hunter</c:v>
                </c:pt>
                <c:pt idx="4">
                  <c:v>Morgan Mooney</c:v>
                </c:pt>
                <c:pt idx="5">
                  <c:v>Steven Black</c:v>
                </c:pt>
                <c:pt idx="6">
                  <c:v>Seamus Diver</c:v>
                </c:pt>
                <c:pt idx="7">
                  <c:v>Barry Hunter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67.5</c:v>
                </c:pt>
                <c:pt idx="1">
                  <c:v>58.333300000000001</c:v>
                </c:pt>
                <c:pt idx="2">
                  <c:v>47.5</c:v>
                </c:pt>
                <c:pt idx="3">
                  <c:v>44.444400000000002</c:v>
                </c:pt>
                <c:pt idx="4">
                  <c:v>43.8889</c:v>
                </c:pt>
                <c:pt idx="5">
                  <c:v>39</c:v>
                </c:pt>
                <c:pt idx="6">
                  <c:v>37.5</c:v>
                </c:pt>
                <c:pt idx="7">
                  <c:v>29.444400000000002</c:v>
                </c:pt>
                <c:pt idx="8">
                  <c:v>23.571400000000001</c:v>
                </c:pt>
                <c:pt idx="9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Kevin Lee</c:v>
              </c:pt>
              <c:pt idx="3">
                <c:v>Ciaran Lynch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47.86741979167" backgroundQuery="1" createdVersion="8" refreshedVersion="8" minRefreshableVersion="3" recordCount="0" supportSubquery="1" supportAdvancedDrill="1" xr:uid="{E4BDBF98-5744-4B26-8916-935C3AE37C2D}">
  <cacheSource type="external" connectionId="11"/>
  <cacheFields count="2">
    <cacheField name="[qry_Game_Number].[qry_Players.Player_Name].[qry_Players.Player_Name]" caption="qry_Players.Player_Name" numFmtId="0" hierarchy="3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36" level="32767"/>
  </cacheFields>
  <cacheHierarchies count="38"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6"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8">
    <map measureGroup="0" dimension="1"/>
    <map measureGroup="1" dimension="2"/>
    <map measureGroup="2" dimension="1"/>
    <map measureGroup="2" dimension="3"/>
    <map measureGroup="2" dimension="4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47.867427314814" backgroundQuery="1" createdVersion="8" refreshedVersion="8" minRefreshableVersion="3" recordCount="0" supportSubquery="1" supportAdvancedDrill="1" xr:uid="{F17423D0-4FA3-4356-8BFA-E77ECF6FBB26}">
  <cacheSource type="external" connectionId="11"/>
  <cacheFields count="2">
    <cacheField name="[qry_Player_Game_Stats_2026].[qry_Players.Player_Name].[qry_Players.Player_Name]" caption="qry_Players.Player_Name" numFmtId="0" hierarchy="12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League Points]" caption="Sum of League Points" numFmtId="0" hierarchy="34" level="32767"/>
  </cacheFields>
  <cacheHierarchies count="38"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6"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8">
    <map measureGroup="0" dimension="1"/>
    <map measureGroup="1" dimension="2"/>
    <map measureGroup="2" dimension="1"/>
    <map measureGroup="2" dimension="3"/>
    <map measureGroup="2" dimension="4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47.867428356483" backgroundQuery="1" createdVersion="8" refreshedVersion="8" minRefreshableVersion="3" recordCount="0" supportSubquery="1" supportAdvancedDrill="1" xr:uid="{6509EC4A-8CCE-4F75-BB47-B11EA45ABF09}">
  <cacheSource type="external" connectionId="11"/>
  <cacheFields count="2">
    <cacheField name="[qry_Player_Game_Stats_2026].[qry_Players.Player_Name].[qry_Players.Player_Name]" caption="qry_Players.Player_Name" numFmtId="0" hierarchy="12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ROI]" caption="Sum of ROI" numFmtId="0" hierarchy="37" level="32767"/>
  </cacheFields>
  <cacheHierarchies count="38"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6"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8">
    <map measureGroup="0" dimension="1"/>
    <map measureGroup="1" dimension="2"/>
    <map measureGroup="2" dimension="1"/>
    <map measureGroup="2" dimension="3"/>
    <map measureGroup="2" dimension="4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47.867428587961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Martin Hunter"/>
        <s v="Morgan Mooney"/>
        <s v="Brendan Stevenson"/>
        <s v="Ciaran Lynch"/>
        <s v="Barry Hunter"/>
        <s v="Steven Black"/>
        <s v="Mark Hunter"/>
        <s v="Seamus Diver"/>
        <s v="Ryan Mc Elchar"/>
      </sharedItems>
    </cacheField>
    <cacheField name="Total_Cash_Out" numFmtId="164">
      <sharedItems containsSemiMixedTypes="0" containsString="0" containsNumber="1" containsInteger="1" minValue="25" maxValue="525"/>
    </cacheField>
    <cacheField name="Games_Played" numFmtId="0">
      <sharedItems containsSemiMixedTypes="0" containsString="0" containsNumber="1" containsInteger="1" minValue="2" maxValue="9"/>
    </cacheField>
    <cacheField name="Average Cash Per Game 2025 - 2026" numFmtId="164">
      <sharedItems containsSemiMixedTypes="0" containsString="0" containsNumber="1" minValue="12.5" maxValue="6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47.867418981485" backgroundQuery="1" createdVersion="8" refreshedVersion="8" minRefreshableVersion="3" recordCount="0" supportSubquery="1" supportAdvancedDrill="1" xr:uid="{3A8CCDDE-B061-4CDC-88D8-29F8A9478A8E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3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36" level="32767"/>
  </cacheFields>
  <cacheHierarchies count="38"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6"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8">
    <map measureGroup="0" dimension="1"/>
    <map measureGroup="1" dimension="2"/>
    <map measureGroup="2" dimension="1"/>
    <map measureGroup="2" dimension="3"/>
    <map measureGroup="2" dimension="4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525"/>
    <n v="9"/>
    <n v="58.333300000000001"/>
  </r>
  <r>
    <n v="1"/>
    <x v="1"/>
    <n v="400"/>
    <n v="9"/>
    <n v="44.444400000000002"/>
  </r>
  <r>
    <n v="5"/>
    <x v="2"/>
    <n v="395"/>
    <n v="9"/>
    <n v="43.8889"/>
  </r>
  <r>
    <n v="7"/>
    <x v="3"/>
    <n v="285"/>
    <n v="6"/>
    <n v="47.5"/>
  </r>
  <r>
    <n v="2"/>
    <x v="4"/>
    <n v="270"/>
    <n v="4"/>
    <n v="67.5"/>
  </r>
  <r>
    <n v="3"/>
    <x v="5"/>
    <n v="265"/>
    <n v="9"/>
    <n v="29.444400000000002"/>
  </r>
  <r>
    <n v="8"/>
    <x v="6"/>
    <n v="195"/>
    <n v="5"/>
    <n v="39"/>
  </r>
  <r>
    <n v="11"/>
    <x v="7"/>
    <n v="165"/>
    <n v="7"/>
    <n v="23.571400000000001"/>
  </r>
  <r>
    <n v="4"/>
    <x v="8"/>
    <n v="150"/>
    <n v="4"/>
    <n v="37.5"/>
  </r>
  <r>
    <n v="12"/>
    <x v="9"/>
    <n v="25"/>
    <n v="2"/>
    <n v="1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2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</pivotHierarchies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9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256" applyNumberFormats="0" applyBorderFormats="0" applyFontFormats="0" applyPatternFormats="0" applyAlignmentFormats="0" applyWidthHeightFormats="1" dataCaption="Values" tag="1ec23470-5531-4d71-9fd4-5a4824864a43" updatedVersion="8" minRefreshableVersion="3" useAutoFormatting="1" itemPrintTitles="1" createdVersion="8" indent="0" outline="1" outlineData="1" multipleFieldFilters="0" rowHeaderCaption="Player">
  <location ref="K28:L38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6"/>
    </i>
    <i>
      <x v="8"/>
    </i>
    <i>
      <x v="3"/>
    </i>
    <i>
      <x v="2"/>
    </i>
    <i>
      <x v="1"/>
    </i>
    <i>
      <x v="7"/>
    </i>
    <i>
      <x v="4"/>
    </i>
    <i>
      <x/>
    </i>
    <i>
      <x v="5"/>
    </i>
    <i t="grand">
      <x/>
    </i>
  </rowItems>
  <colItems count="1">
    <i/>
  </colItems>
  <dataFields count="1">
    <dataField name="Sum of ROI" fld="1" baseField="0" baseItem="0"/>
  </dataFields>
  <formats count="6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250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253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2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6"/>
    </i>
    <i>
      <x v="3"/>
    </i>
    <i>
      <x v="2"/>
    </i>
    <i>
      <x v="8"/>
    </i>
    <i>
      <x v="4"/>
    </i>
    <i>
      <x/>
    </i>
    <i>
      <x v="1"/>
    </i>
    <i>
      <x v="5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42">
      <pivotArea outline="0" collapsedLevelsAreSubtotals="1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2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5"/>
        <item x="3"/>
        <item x="4"/>
        <item x="0"/>
        <item x="7"/>
        <item x="1"/>
        <item x="2"/>
        <item x="9"/>
        <item x="8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2"/>
    </i>
    <i>
      <x v="3"/>
    </i>
    <i>
      <x v="1"/>
    </i>
    <i>
      <x v="5"/>
    </i>
    <i>
      <x v="6"/>
    </i>
    <i>
      <x v="9"/>
    </i>
    <i>
      <x v="8"/>
    </i>
    <i>
      <x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4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61"/>
    <tableColumn id="4" xr3:uid="{26E7DB68-E557-4F94-9F01-9B8FAF9E2C7A}" name="Rebuy" dataDxfId="60"/>
    <tableColumn id="5" xr3:uid="{CCEBB7B8-9EAF-4D13-BD62-7D8780EC8B72}" name="CashOut" dataDxfId="5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/>
  <tableColumns count="17">
    <tableColumn id="1" xr3:uid="{D9BB77C1-B153-4DC9-AB4F-46B073C9802C}" name="Player_No" totalsRowLabel="Total"/>
    <tableColumn id="2" xr3:uid="{777EF35F-DF6E-4218-8A2E-886E76E5CCBF}" name="FullName"/>
    <tableColumn id="3" xr3:uid="{C2740B49-3160-4717-B226-181C1BFF78F4}" name="23/01/2026" totalsRowFunction="sum" dataDxfId="58" totalsRowDxfId="57"/>
    <tableColumn id="4" xr3:uid="{ECC27581-19AC-4220-8CBF-ED38FD7613F3}" name="Week2" dataDxfId="56"/>
    <tableColumn id="5" xr3:uid="{1308133D-F013-4CB9-A6ED-ACABF1D9D44B}" name="Week3" totalsRowFunction="count" dataDxfId="55"/>
    <tableColumn id="6" xr3:uid="{2A5C365C-7BD2-4724-A447-E6C35C83FCF9}" name="Week4" dataDxfId="54"/>
    <tableColumn id="7" xr3:uid="{94C5C22F-4CEA-46F4-BADE-BDCEDCBC7A0E}" name="Week5" dataDxfId="53"/>
    <tableColumn id="8" xr3:uid="{0563C163-E688-414A-B028-97E5FAA83B1A}" name="Week6" dataDxfId="52"/>
    <tableColumn id="9" xr3:uid="{AF465F9B-4B17-4946-B60B-48283A067B48}" name="Week7" dataDxfId="51"/>
    <tableColumn id="10" xr3:uid="{07DFEE1A-6A59-40BB-98D8-F4B2C60538C0}" name="Week8" dataDxfId="50"/>
    <tableColumn id="11" xr3:uid="{52995472-9E50-4339-B494-30FA1A3E031B}" name="Week9" dataDxfId="49"/>
    <tableColumn id="12" xr3:uid="{F6A60054-EC8B-4468-AE1F-13A57D8D744D}" name="Week10" dataDxfId="48"/>
    <tableColumn id="13" xr3:uid="{E56DC21D-A0AD-4E9E-A781-AA21C2EE660F}" name="Week11" dataDxfId="47"/>
    <tableColumn id="14" xr3:uid="{DAFF31BB-9E10-42AB-B2EB-E830295F96B8}" name="Week12" dataDxfId="46"/>
    <tableColumn id="15" xr3:uid="{62860BC6-8010-4BBD-8AA0-1980A660D7C5}" name="Week13" dataDxfId="45"/>
    <tableColumn id="16" xr3:uid="{B099F725-2C0B-4BC3-A1F0-AF4779A32745}" name="Week14" dataDxfId="44"/>
    <tableColumn id="17" xr3:uid="{E32710AA-A898-4781-8951-0A1B27E2A2A0}" name="Total" totalsRowFunction="sum" dataDxfId="43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0" tableType="queryTable" totalsRowShown="0">
  <autoFilter ref="A1:D10" xr:uid="{6620946A-8040-42A9-ACB5-AD95B625A6A2}"/>
  <sortState xmlns:xlrd2="http://schemas.microsoft.com/office/spreadsheetml/2017/richdata2" ref="A2:D10">
    <sortCondition ref="B1:B10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16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17" tableType="queryTable" totalsRowCount="1">
  <autoFilter ref="A1:H16" xr:uid="{EDB0D924-0B8C-42F1-8E9A-9B99F6276E5B}"/>
  <sortState xmlns:xlrd2="http://schemas.microsoft.com/office/spreadsheetml/2017/richdata2" ref="A2:H16">
    <sortCondition ref="A1:A16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queryTableFieldId="8" dataDxfId="5"/>
    <tableColumn id="3" xr3:uid="{04414F35-634B-41DF-9DF1-62B443DA2025}" uniqueName="3" name="BuyIn" totalsRowFunction="sum" queryTableFieldId="3" dataDxfId="4" totalsRowDxfId="6"/>
    <tableColumn id="4" xr3:uid="{F3ECD1C4-26E9-4247-A1FC-C2CAFBAE328B}" uniqueName="4" name="Rebuy" totalsRowFunction="sum" queryTableFieldId="4" dataDxfId="3" totalsRowDxfId="7"/>
    <tableColumn id="5" xr3:uid="{07C8CD74-13B3-4953-BFD0-31CAA114E296}" uniqueName="5" name="CashOut" totalsRowFunction="sum" queryTableFieldId="5" dataDxfId="2" totalsRowDxfId="8"/>
    <tableColumn id="6" xr3:uid="{5BA02402-BB08-4C55-8C36-F7FF8CB1F212}" uniqueName="6" name="League Points" queryTableFieldId="6"/>
    <tableColumn id="7" xr3:uid="{8738C0A6-8EFB-4DD4-B8AF-B8CD842020F7}" uniqueName="7" name="ROI" totalsRowFunction="sum" queryTableFieldId="7" dataDxfId="1" totalsRow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12"/>
    <tableColumn id="3" xr3:uid="{BCCB1BF0-5D2E-4392-9048-E7C6373F9DC5}" uniqueName="3" name="Total_Cash_Out" totalsRowFunction="average" queryTableFieldId="3" dataDxfId="11" totalsRowDxfId="13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10" totalsRowDxf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0" tableType="queryTable" totalsRowShown="0">
  <autoFilter ref="A1:E10" xr:uid="{F39F1E7C-0A1F-42AB-B9F2-915DFAD694D1}"/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0"/>
    <tableColumn id="3" xr3:uid="{56E78875-AD39-46FB-8A01-FA8BE36D52D9}" uniqueName="3" name="Total_Cashout" queryTableFieldId="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15"/>
  <sheetViews>
    <sheetView workbookViewId="0">
      <selection activeCell="K31" sqref="K31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2.5703125" customWidth="1"/>
    <col min="4" max="4" width="10.85546875" customWidth="1"/>
    <col min="5" max="5" width="13.5703125" customWidth="1"/>
    <col min="12" max="12" width="11.7109375" customWidth="1"/>
    <col min="13" max="13" width="12.28515625" customWidth="1"/>
    <col min="14" max="14" width="11.7109375" customWidth="1"/>
    <col min="15" max="15" width="15.42578125" customWidth="1"/>
  </cols>
  <sheetData>
    <row r="1" spans="1:17" ht="21" x14ac:dyDescent="0.35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7" x14ac:dyDescent="0.25">
      <c r="A2" t="s">
        <v>22</v>
      </c>
      <c r="B2" t="s">
        <v>1</v>
      </c>
      <c r="C2" s="2" t="s">
        <v>23</v>
      </c>
      <c r="D2" s="2" t="s">
        <v>25</v>
      </c>
      <c r="E2" s="2" t="s">
        <v>26</v>
      </c>
      <c r="F2" s="2" t="s">
        <v>27</v>
      </c>
      <c r="G2" s="2" t="s">
        <v>28</v>
      </c>
      <c r="H2" s="2" t="s">
        <v>29</v>
      </c>
      <c r="I2" s="2" t="s">
        <v>30</v>
      </c>
      <c r="J2" s="2" t="s">
        <v>31</v>
      </c>
      <c r="K2" s="2" t="s">
        <v>32</v>
      </c>
      <c r="L2" s="2" t="s">
        <v>33</v>
      </c>
      <c r="M2" s="2" t="s">
        <v>34</v>
      </c>
      <c r="N2" s="2" t="s">
        <v>35</v>
      </c>
      <c r="O2" s="2" t="s">
        <v>36</v>
      </c>
      <c r="P2" s="2" t="s">
        <v>37</v>
      </c>
      <c r="Q2" s="2" t="s">
        <v>20</v>
      </c>
    </row>
    <row r="3" spans="1:17" x14ac:dyDescent="0.25">
      <c r="A3">
        <v>1</v>
      </c>
      <c r="B3" t="s">
        <v>2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f>SUM(League_Paymenst_2026[[#This Row],[23/01/2026]:[Week14]])</f>
        <v>10</v>
      </c>
    </row>
    <row r="4" spans="1:17" x14ac:dyDescent="0.25">
      <c r="A4">
        <v>2</v>
      </c>
      <c r="B4" t="s">
        <v>3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f>SUM(League_Paymenst_2026[[#This Row],[23/01/2026]:[Week14]])</f>
        <v>10</v>
      </c>
    </row>
    <row r="5" spans="1:17" x14ac:dyDescent="0.25">
      <c r="A5">
        <v>3</v>
      </c>
      <c r="B5" t="s">
        <v>4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f>SUM(League_Paymenst_2026[[#This Row],[23/01/2026]:[Week14]])</f>
        <v>10</v>
      </c>
    </row>
    <row r="6" spans="1:17" x14ac:dyDescent="0.25">
      <c r="A6">
        <v>4</v>
      </c>
      <c r="B6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>
        <f>SUM(League_Paymenst_2026[[#This Row],[23/01/2026]:[Week14]])</f>
        <v>0</v>
      </c>
    </row>
    <row r="7" spans="1:17" x14ac:dyDescent="0.25">
      <c r="A7">
        <v>5</v>
      </c>
      <c r="B7" t="s">
        <v>6</v>
      </c>
      <c r="C7" s="1">
        <v>10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>
        <f>SUM(League_Paymenst_2026[[#This Row],[23/01/2026]:[Week14]])</f>
        <v>10</v>
      </c>
    </row>
    <row r="8" spans="1:17" x14ac:dyDescent="0.25">
      <c r="A8">
        <v>6</v>
      </c>
      <c r="B8" t="s">
        <v>7</v>
      </c>
      <c r="C8" s="1">
        <v>10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f>SUM(League_Paymenst_2026[[#This Row],[23/01/2026]:[Week14]])</f>
        <v>10</v>
      </c>
    </row>
    <row r="9" spans="1:17" x14ac:dyDescent="0.25">
      <c r="A9">
        <v>7</v>
      </c>
      <c r="B9" t="s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f>SUM(League_Paymenst_2026[[#This Row],[23/01/2026]:[Week14]])</f>
        <v>0</v>
      </c>
    </row>
    <row r="10" spans="1:17" x14ac:dyDescent="0.25">
      <c r="A10">
        <v>8</v>
      </c>
      <c r="B10" t="s">
        <v>9</v>
      </c>
      <c r="C10" s="1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>
        <f>SUM(League_Paymenst_2026[[#This Row],[23/01/2026]:[Week14]])</f>
        <v>10</v>
      </c>
    </row>
    <row r="11" spans="1:17" x14ac:dyDescent="0.25">
      <c r="A11">
        <v>9</v>
      </c>
      <c r="B1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f>SUM(League_Paymenst_2026[[#This Row],[23/01/2026]:[Week14]])</f>
        <v>0</v>
      </c>
    </row>
    <row r="12" spans="1:17" x14ac:dyDescent="0.25">
      <c r="A12">
        <v>10</v>
      </c>
      <c r="B12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>
        <f>SUM(League_Paymenst_2026[[#This Row],[23/01/2026]:[Week14]])</f>
        <v>0</v>
      </c>
    </row>
    <row r="13" spans="1:17" x14ac:dyDescent="0.25">
      <c r="A13">
        <v>11</v>
      </c>
      <c r="B13" t="s">
        <v>12</v>
      </c>
      <c r="C13" s="1">
        <v>10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>
        <f>SUM(League_Paymenst_2026[[#This Row],[23/01/2026]:[Week14]])</f>
        <v>10</v>
      </c>
    </row>
    <row r="14" spans="1:17" x14ac:dyDescent="0.25">
      <c r="A14">
        <v>12</v>
      </c>
      <c r="B14" t="s">
        <v>19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>
        <f>SUM(League_Paymenst_2026[[#This Row],[23/01/2026]:[Week14]])</f>
        <v>0</v>
      </c>
    </row>
    <row r="15" spans="1:17" x14ac:dyDescent="0.25">
      <c r="A15" t="s">
        <v>20</v>
      </c>
      <c r="C15" s="1">
        <f>SUBTOTAL(109,League_Paymenst_2026[23/01/2026])</f>
        <v>70</v>
      </c>
      <c r="E15">
        <f>SUBTOTAL(103,League_Paymenst_2026[Week3])</f>
        <v>0</v>
      </c>
      <c r="Q15" s="1">
        <f>SUBTOTAL(109,League_Paymenst_2026[Total])</f>
        <v>70</v>
      </c>
    </row>
  </sheetData>
  <mergeCells count="1">
    <mergeCell ref="A1:N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sqref="A1:B13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42</v>
      </c>
    </row>
    <row r="2" spans="1:2" x14ac:dyDescent="0.25">
      <c r="A2">
        <v>1</v>
      </c>
      <c r="B2" s="8" t="s">
        <v>2</v>
      </c>
    </row>
    <row r="3" spans="1:2" x14ac:dyDescent="0.25">
      <c r="A3">
        <v>2</v>
      </c>
      <c r="B3" s="8" t="s">
        <v>3</v>
      </c>
    </row>
    <row r="4" spans="1:2" x14ac:dyDescent="0.25">
      <c r="A4">
        <v>3</v>
      </c>
      <c r="B4" s="8" t="s">
        <v>4</v>
      </c>
    </row>
    <row r="5" spans="1:2" x14ac:dyDescent="0.25">
      <c r="A5">
        <v>4</v>
      </c>
      <c r="B5" s="8" t="s">
        <v>5</v>
      </c>
    </row>
    <row r="6" spans="1:2" x14ac:dyDescent="0.25">
      <c r="A6">
        <v>5</v>
      </c>
      <c r="B6" s="8" t="s">
        <v>6</v>
      </c>
    </row>
    <row r="7" spans="1:2" x14ac:dyDescent="0.25">
      <c r="A7">
        <v>6</v>
      </c>
      <c r="B7" s="8" t="s">
        <v>7</v>
      </c>
    </row>
    <row r="8" spans="1:2" x14ac:dyDescent="0.25">
      <c r="A8">
        <v>7</v>
      </c>
      <c r="B8" s="8" t="s">
        <v>8</v>
      </c>
    </row>
    <row r="9" spans="1:2" x14ac:dyDescent="0.25">
      <c r="A9">
        <v>8</v>
      </c>
      <c r="B9" s="8" t="s">
        <v>9</v>
      </c>
    </row>
    <row r="10" spans="1:2" x14ac:dyDescent="0.25">
      <c r="A10">
        <v>9</v>
      </c>
      <c r="B10" s="8" t="s">
        <v>10</v>
      </c>
    </row>
    <row r="11" spans="1:2" x14ac:dyDescent="0.25">
      <c r="A11">
        <v>10</v>
      </c>
      <c r="B11" s="8" t="s">
        <v>11</v>
      </c>
    </row>
    <row r="12" spans="1:2" x14ac:dyDescent="0.25">
      <c r="A12">
        <v>11</v>
      </c>
      <c r="B12" s="8" t="s">
        <v>12</v>
      </c>
    </row>
    <row r="13" spans="1:2" x14ac:dyDescent="0.25">
      <c r="A13">
        <v>12</v>
      </c>
      <c r="B13" s="8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0"/>
  <sheetViews>
    <sheetView workbookViewId="0">
      <selection activeCell="A14" sqref="A14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43</v>
      </c>
      <c r="D1" t="s">
        <v>44</v>
      </c>
    </row>
    <row r="2" spans="1:4" x14ac:dyDescent="0.25">
      <c r="A2">
        <v>1</v>
      </c>
      <c r="B2" s="2">
        <v>45681</v>
      </c>
      <c r="C2">
        <v>6</v>
      </c>
      <c r="D2" s="8" t="s">
        <v>7</v>
      </c>
    </row>
    <row r="3" spans="1:4" x14ac:dyDescent="0.25">
      <c r="A3">
        <v>2</v>
      </c>
      <c r="B3" s="2">
        <v>45709</v>
      </c>
      <c r="C3">
        <v>1</v>
      </c>
      <c r="D3" s="8" t="s">
        <v>2</v>
      </c>
    </row>
    <row r="4" spans="1:4" x14ac:dyDescent="0.25">
      <c r="A4">
        <v>3</v>
      </c>
      <c r="B4" s="2">
        <v>45730</v>
      </c>
      <c r="C4">
        <v>4</v>
      </c>
      <c r="D4" s="8" t="s">
        <v>5</v>
      </c>
    </row>
    <row r="5" spans="1:4" x14ac:dyDescent="0.25">
      <c r="A5">
        <v>4</v>
      </c>
      <c r="B5" s="2">
        <v>45765</v>
      </c>
      <c r="C5">
        <v>5</v>
      </c>
      <c r="D5" s="8" t="s">
        <v>6</v>
      </c>
    </row>
    <row r="6" spans="1:4" x14ac:dyDescent="0.25">
      <c r="A6">
        <v>5</v>
      </c>
      <c r="B6" s="2">
        <v>45954</v>
      </c>
      <c r="C6">
        <v>5</v>
      </c>
      <c r="D6" s="8" t="s">
        <v>6</v>
      </c>
    </row>
    <row r="7" spans="1:4" x14ac:dyDescent="0.25">
      <c r="A7">
        <v>6</v>
      </c>
      <c r="B7" s="2">
        <v>45982</v>
      </c>
      <c r="C7">
        <v>1</v>
      </c>
      <c r="D7" s="8" t="s">
        <v>2</v>
      </c>
    </row>
    <row r="8" spans="1:4" x14ac:dyDescent="0.25">
      <c r="A8">
        <v>7</v>
      </c>
      <c r="B8" s="2">
        <v>46010</v>
      </c>
      <c r="C8">
        <v>6</v>
      </c>
      <c r="D8" s="8" t="s">
        <v>7</v>
      </c>
    </row>
    <row r="9" spans="1:4" x14ac:dyDescent="0.25">
      <c r="A9">
        <v>8</v>
      </c>
      <c r="B9" s="2">
        <v>46024</v>
      </c>
      <c r="C9">
        <v>3</v>
      </c>
      <c r="D9" s="8" t="s">
        <v>4</v>
      </c>
    </row>
    <row r="10" spans="1:4" x14ac:dyDescent="0.25">
      <c r="A10">
        <v>9</v>
      </c>
      <c r="B10" s="2">
        <v>46045</v>
      </c>
      <c r="C10">
        <v>2</v>
      </c>
      <c r="D10" s="8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L38"/>
  <sheetViews>
    <sheetView workbookViewId="0">
      <selection activeCell="E27" sqref="E27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4" width="8.28515625" bestFit="1" customWidth="1"/>
    <col min="5" max="5" width="9" bestFit="1" customWidth="1"/>
    <col min="6" max="6" width="11.140625" bestFit="1" customWidth="1"/>
    <col min="7" max="7" width="16" bestFit="1" customWidth="1"/>
    <col min="8" max="8" width="7.28515625" bestFit="1" customWidth="1"/>
    <col min="11" max="11" width="18" bestFit="1" customWidth="1"/>
    <col min="12" max="12" width="23.85546875" bestFit="1" customWidth="1"/>
  </cols>
  <sheetData>
    <row r="1" spans="1:12" x14ac:dyDescent="0.25">
      <c r="A1" t="s">
        <v>21</v>
      </c>
      <c r="B1" t="s">
        <v>22</v>
      </c>
      <c r="C1" t="s">
        <v>44</v>
      </c>
      <c r="D1" t="s">
        <v>15</v>
      </c>
      <c r="E1" t="s">
        <v>16</v>
      </c>
      <c r="F1" t="s">
        <v>17</v>
      </c>
      <c r="G1" t="s">
        <v>45</v>
      </c>
      <c r="H1" t="s">
        <v>40</v>
      </c>
      <c r="K1" s="11" t="s">
        <v>45</v>
      </c>
      <c r="L1" s="11"/>
    </row>
    <row r="2" spans="1:12" x14ac:dyDescent="0.25">
      <c r="A2">
        <v>8</v>
      </c>
      <c r="B2">
        <v>1</v>
      </c>
      <c r="C2" s="8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39</v>
      </c>
      <c r="L2" s="4" t="s">
        <v>47</v>
      </c>
    </row>
    <row r="3" spans="1:12" x14ac:dyDescent="0.25">
      <c r="A3">
        <v>8</v>
      </c>
      <c r="B3">
        <v>2</v>
      </c>
      <c r="C3" s="8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6</v>
      </c>
      <c r="L3" s="10">
        <v>8250</v>
      </c>
    </row>
    <row r="4" spans="1:12" x14ac:dyDescent="0.25">
      <c r="A4">
        <v>8</v>
      </c>
      <c r="B4">
        <v>3</v>
      </c>
      <c r="C4" s="8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7</v>
      </c>
      <c r="L4" s="10">
        <v>7000</v>
      </c>
    </row>
    <row r="5" spans="1:12" x14ac:dyDescent="0.25">
      <c r="A5">
        <v>8</v>
      </c>
      <c r="B5">
        <v>5</v>
      </c>
      <c r="C5" s="8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3</v>
      </c>
      <c r="L5" s="10">
        <v>5500</v>
      </c>
    </row>
    <row r="6" spans="1:12" x14ac:dyDescent="0.25">
      <c r="A6">
        <v>8</v>
      </c>
      <c r="B6">
        <v>6</v>
      </c>
      <c r="C6" s="8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9</v>
      </c>
      <c r="L6" s="10">
        <v>5250</v>
      </c>
    </row>
    <row r="7" spans="1:12" x14ac:dyDescent="0.25">
      <c r="A7">
        <v>8</v>
      </c>
      <c r="B7">
        <v>7</v>
      </c>
      <c r="C7" s="8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12</v>
      </c>
      <c r="L7" s="10">
        <v>3000</v>
      </c>
    </row>
    <row r="8" spans="1:12" x14ac:dyDescent="0.25">
      <c r="A8">
        <v>8</v>
      </c>
      <c r="B8">
        <v>11</v>
      </c>
      <c r="C8" s="8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4</v>
      </c>
      <c r="L8" s="10">
        <v>2500</v>
      </c>
    </row>
    <row r="9" spans="1:12" x14ac:dyDescent="0.25">
      <c r="A9">
        <v>8</v>
      </c>
      <c r="B9">
        <v>12</v>
      </c>
      <c r="C9" s="8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8</v>
      </c>
      <c r="L9" s="10">
        <v>2500</v>
      </c>
    </row>
    <row r="10" spans="1:12" x14ac:dyDescent="0.25">
      <c r="A10">
        <v>9</v>
      </c>
      <c r="B10">
        <v>1</v>
      </c>
      <c r="C10" s="8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2</v>
      </c>
      <c r="L10" s="10">
        <v>2250</v>
      </c>
    </row>
    <row r="11" spans="1:12" x14ac:dyDescent="0.25">
      <c r="A11">
        <v>9</v>
      </c>
      <c r="B11">
        <v>2</v>
      </c>
      <c r="C11" s="8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19</v>
      </c>
      <c r="L11" s="10">
        <v>1250</v>
      </c>
    </row>
    <row r="12" spans="1:12" x14ac:dyDescent="0.25">
      <c r="A12">
        <v>9</v>
      </c>
      <c r="B12">
        <v>3</v>
      </c>
      <c r="C12" s="8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18</v>
      </c>
      <c r="L12" s="10">
        <v>37500</v>
      </c>
    </row>
    <row r="13" spans="1:12" x14ac:dyDescent="0.25">
      <c r="A13">
        <v>9</v>
      </c>
      <c r="B13">
        <v>5</v>
      </c>
      <c r="C13" s="8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</row>
    <row r="14" spans="1:12" x14ac:dyDescent="0.25">
      <c r="A14">
        <v>9</v>
      </c>
      <c r="B14">
        <v>6</v>
      </c>
      <c r="C14" s="8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8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8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2" x14ac:dyDescent="0.25">
      <c r="A17" t="s">
        <v>20</v>
      </c>
      <c r="D17" s="1">
        <f>SUBTOTAL(109,qry_Player_Game_Stats_2026[BuyIn])</f>
        <v>450</v>
      </c>
      <c r="E17" s="1">
        <f>SUBTOTAL(109,qry_Player_Game_Stats_2026[Rebuy])</f>
        <v>300</v>
      </c>
      <c r="F17" s="1">
        <f>SUBTOTAL(109,qry_Player_Game_Stats_2026[CashOut])</f>
        <v>750</v>
      </c>
      <c r="H17" s="1">
        <f>SUBTOTAL(109,qry_Player_Game_Stats_2026[ROI])</f>
        <v>0</v>
      </c>
      <c r="K17" s="11" t="s">
        <v>49</v>
      </c>
      <c r="L17" s="11"/>
    </row>
    <row r="18" spans="1:12" x14ac:dyDescent="0.25">
      <c r="K18" s="3" t="s">
        <v>39</v>
      </c>
      <c r="L18" s="4" t="s">
        <v>48</v>
      </c>
    </row>
    <row r="19" spans="1:12" x14ac:dyDescent="0.25">
      <c r="K19" s="5" t="s">
        <v>2</v>
      </c>
      <c r="L19" s="9">
        <v>2</v>
      </c>
    </row>
    <row r="20" spans="1:12" x14ac:dyDescent="0.25">
      <c r="K20" s="5" t="s">
        <v>6</v>
      </c>
      <c r="L20" s="9">
        <v>2</v>
      </c>
    </row>
    <row r="21" spans="1:12" x14ac:dyDescent="0.25">
      <c r="K21" s="5" t="s">
        <v>7</v>
      </c>
      <c r="L21" s="9">
        <v>2</v>
      </c>
    </row>
    <row r="22" spans="1:12" x14ac:dyDescent="0.25">
      <c r="K22" s="5" t="s">
        <v>3</v>
      </c>
      <c r="L22" s="9">
        <v>1</v>
      </c>
    </row>
    <row r="23" spans="1:12" x14ac:dyDescent="0.25">
      <c r="K23" s="5" t="s">
        <v>5</v>
      </c>
      <c r="L23" s="9">
        <v>1</v>
      </c>
    </row>
    <row r="24" spans="1:12" x14ac:dyDescent="0.25">
      <c r="K24" s="5" t="s">
        <v>4</v>
      </c>
      <c r="L24" s="9">
        <v>1</v>
      </c>
    </row>
    <row r="25" spans="1:12" x14ac:dyDescent="0.25">
      <c r="K25" s="5" t="s">
        <v>18</v>
      </c>
      <c r="L25" s="9">
        <v>9</v>
      </c>
    </row>
    <row r="27" spans="1:12" x14ac:dyDescent="0.25">
      <c r="K27" s="13" t="s">
        <v>50</v>
      </c>
      <c r="L27" s="13"/>
    </row>
    <row r="28" spans="1:12" x14ac:dyDescent="0.25">
      <c r="K28" s="3" t="s">
        <v>39</v>
      </c>
      <c r="L28" s="4" t="s">
        <v>41</v>
      </c>
    </row>
    <row r="29" spans="1:12" x14ac:dyDescent="0.25">
      <c r="K29" s="5" t="s">
        <v>6</v>
      </c>
      <c r="L29" s="12">
        <v>65</v>
      </c>
    </row>
    <row r="30" spans="1:12" x14ac:dyDescent="0.25">
      <c r="K30" s="5" t="s">
        <v>9</v>
      </c>
      <c r="L30" s="12">
        <v>55</v>
      </c>
    </row>
    <row r="31" spans="1:12" x14ac:dyDescent="0.25">
      <c r="K31" s="5" t="s">
        <v>7</v>
      </c>
      <c r="L31" s="12">
        <v>40</v>
      </c>
    </row>
    <row r="32" spans="1:12" x14ac:dyDescent="0.25">
      <c r="K32" s="5" t="s">
        <v>3</v>
      </c>
      <c r="L32" s="12">
        <v>10</v>
      </c>
    </row>
    <row r="33" spans="11:12" x14ac:dyDescent="0.25">
      <c r="K33" s="5" t="s">
        <v>8</v>
      </c>
      <c r="L33" s="12">
        <v>0</v>
      </c>
    </row>
    <row r="34" spans="11:12" x14ac:dyDescent="0.25">
      <c r="K34" s="5" t="s">
        <v>19</v>
      </c>
      <c r="L34" s="12">
        <v>-25</v>
      </c>
    </row>
    <row r="35" spans="11:12" x14ac:dyDescent="0.25">
      <c r="K35" s="5" t="s">
        <v>12</v>
      </c>
      <c r="L35" s="12">
        <v>-40</v>
      </c>
    </row>
    <row r="36" spans="11:12" x14ac:dyDescent="0.25">
      <c r="K36" s="5" t="s">
        <v>4</v>
      </c>
      <c r="L36" s="12">
        <v>-50</v>
      </c>
    </row>
    <row r="37" spans="11:12" x14ac:dyDescent="0.25">
      <c r="K37" s="5" t="s">
        <v>2</v>
      </c>
      <c r="L37" s="12">
        <v>-55</v>
      </c>
    </row>
    <row r="38" spans="11:12" x14ac:dyDescent="0.25">
      <c r="K38" s="5" t="s">
        <v>18</v>
      </c>
      <c r="L38" s="12">
        <v>0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tabSelected="1" workbookViewId="0">
      <selection activeCell="B7" sqref="B7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51</v>
      </c>
      <c r="B1" t="s">
        <v>42</v>
      </c>
      <c r="C1" t="s">
        <v>52</v>
      </c>
      <c r="D1" t="s">
        <v>53</v>
      </c>
      <c r="E1" t="s">
        <v>54</v>
      </c>
    </row>
    <row r="2" spans="1:5" x14ac:dyDescent="0.25">
      <c r="A2">
        <v>6</v>
      </c>
      <c r="B2" s="8" t="s">
        <v>7</v>
      </c>
      <c r="C2" s="1">
        <v>525</v>
      </c>
      <c r="D2">
        <v>9</v>
      </c>
      <c r="E2" s="1">
        <v>58.333300000000001</v>
      </c>
    </row>
    <row r="3" spans="1:5" x14ac:dyDescent="0.25">
      <c r="A3">
        <v>1</v>
      </c>
      <c r="B3" s="8" t="s">
        <v>2</v>
      </c>
      <c r="C3" s="1">
        <v>400</v>
      </c>
      <c r="D3">
        <v>9</v>
      </c>
      <c r="E3" s="1">
        <v>44.444400000000002</v>
      </c>
    </row>
    <row r="4" spans="1:5" x14ac:dyDescent="0.25">
      <c r="A4">
        <v>5</v>
      </c>
      <c r="B4" s="8" t="s">
        <v>6</v>
      </c>
      <c r="C4" s="1">
        <v>395</v>
      </c>
      <c r="D4">
        <v>9</v>
      </c>
      <c r="E4" s="1">
        <v>43.8889</v>
      </c>
    </row>
    <row r="5" spans="1:5" x14ac:dyDescent="0.25">
      <c r="A5">
        <v>7</v>
      </c>
      <c r="B5" s="8" t="s">
        <v>8</v>
      </c>
      <c r="C5" s="1">
        <v>285</v>
      </c>
      <c r="D5">
        <v>6</v>
      </c>
      <c r="E5" s="1">
        <v>47.5</v>
      </c>
    </row>
    <row r="6" spans="1:5" x14ac:dyDescent="0.25">
      <c r="A6">
        <v>2</v>
      </c>
      <c r="B6" s="8" t="s">
        <v>3</v>
      </c>
      <c r="C6" s="1">
        <v>270</v>
      </c>
      <c r="D6">
        <v>4</v>
      </c>
      <c r="E6" s="1">
        <v>67.5</v>
      </c>
    </row>
    <row r="7" spans="1:5" x14ac:dyDescent="0.25">
      <c r="A7">
        <v>3</v>
      </c>
      <c r="B7" s="8" t="s">
        <v>4</v>
      </c>
      <c r="C7" s="1">
        <v>265</v>
      </c>
      <c r="D7">
        <v>9</v>
      </c>
      <c r="E7" s="1">
        <v>29.444400000000002</v>
      </c>
    </row>
    <row r="8" spans="1:5" x14ac:dyDescent="0.25">
      <c r="A8">
        <v>8</v>
      </c>
      <c r="B8" s="8" t="s">
        <v>9</v>
      </c>
      <c r="C8" s="1">
        <v>195</v>
      </c>
      <c r="D8">
        <v>5</v>
      </c>
      <c r="E8" s="1">
        <v>39</v>
      </c>
    </row>
    <row r="9" spans="1:5" x14ac:dyDescent="0.25">
      <c r="A9">
        <v>11</v>
      </c>
      <c r="B9" s="8" t="s">
        <v>12</v>
      </c>
      <c r="C9" s="1">
        <v>165</v>
      </c>
      <c r="D9">
        <v>7</v>
      </c>
      <c r="E9" s="1">
        <v>23.571400000000001</v>
      </c>
    </row>
    <row r="10" spans="1:5" x14ac:dyDescent="0.25">
      <c r="A10">
        <v>4</v>
      </c>
      <c r="B10" s="8" t="s">
        <v>5</v>
      </c>
      <c r="C10" s="1">
        <v>150</v>
      </c>
      <c r="D10">
        <v>4</v>
      </c>
      <c r="E10" s="1">
        <v>37.5</v>
      </c>
    </row>
    <row r="11" spans="1:5" x14ac:dyDescent="0.25">
      <c r="A11">
        <v>12</v>
      </c>
      <c r="B11" s="8" t="s">
        <v>19</v>
      </c>
      <c r="C11" s="1">
        <v>25</v>
      </c>
      <c r="D11">
        <v>2</v>
      </c>
      <c r="E11" s="1">
        <v>12.5</v>
      </c>
    </row>
    <row r="12" spans="1:5" x14ac:dyDescent="0.25">
      <c r="A12" t="s">
        <v>20</v>
      </c>
      <c r="C12" s="1">
        <f>SUBTOTAL(101,Top_10_per_player_for_2025_and_2026[Total_Cash_Out])</f>
        <v>267.5</v>
      </c>
      <c r="D12">
        <f>SUBTOTAL(101,Top_10_per_player_for_2025_and_2026[Games_Played])</f>
        <v>6.4</v>
      </c>
      <c r="E12" s="1">
        <f>SUBTOTAL(101,Top_10_per_player_for_2025_and_2026[Average Cash Per Game 2025 - 2026])</f>
        <v>40.36824</v>
      </c>
    </row>
    <row r="15" spans="1:5" ht="19.5" customHeight="1" x14ac:dyDescent="0.25"/>
    <row r="16" spans="1:5" x14ac:dyDescent="0.25">
      <c r="A16" s="3" t="s">
        <v>46</v>
      </c>
      <c r="B16" s="4" t="s">
        <v>55</v>
      </c>
    </row>
    <row r="17" spans="1:2" x14ac:dyDescent="0.25">
      <c r="A17" s="5" t="s">
        <v>3</v>
      </c>
      <c r="B17" s="6">
        <v>67.5</v>
      </c>
    </row>
    <row r="18" spans="1:2" x14ac:dyDescent="0.25">
      <c r="A18" s="5" t="s">
        <v>7</v>
      </c>
      <c r="B18" s="6">
        <v>58.333300000000001</v>
      </c>
    </row>
    <row r="19" spans="1:2" x14ac:dyDescent="0.25">
      <c r="A19" s="5" t="s">
        <v>8</v>
      </c>
      <c r="B19" s="6">
        <v>47.5</v>
      </c>
    </row>
    <row r="20" spans="1:2" x14ac:dyDescent="0.25">
      <c r="A20" s="5" t="s">
        <v>2</v>
      </c>
      <c r="B20" s="6">
        <v>44.444400000000002</v>
      </c>
    </row>
    <row r="21" spans="1:2" x14ac:dyDescent="0.25">
      <c r="A21" s="5" t="s">
        <v>6</v>
      </c>
      <c r="B21" s="6">
        <v>43.8889</v>
      </c>
    </row>
    <row r="22" spans="1:2" x14ac:dyDescent="0.25">
      <c r="A22" s="5" t="s">
        <v>9</v>
      </c>
      <c r="B22" s="6">
        <v>39</v>
      </c>
    </row>
    <row r="23" spans="1:2" x14ac:dyDescent="0.25">
      <c r="A23" s="5" t="s">
        <v>5</v>
      </c>
      <c r="B23" s="6">
        <v>37.5</v>
      </c>
    </row>
    <row r="24" spans="1:2" x14ac:dyDescent="0.25">
      <c r="A24" s="5" t="s">
        <v>4</v>
      </c>
      <c r="B24" s="6">
        <v>29.444400000000002</v>
      </c>
    </row>
    <row r="25" spans="1:2" x14ac:dyDescent="0.25">
      <c r="A25" s="5" t="s">
        <v>12</v>
      </c>
      <c r="B25" s="6">
        <v>23.571400000000001</v>
      </c>
    </row>
    <row r="26" spans="1:2" x14ac:dyDescent="0.25">
      <c r="A26" s="5" t="s">
        <v>19</v>
      </c>
      <c r="B26" s="6">
        <v>12.5</v>
      </c>
    </row>
    <row r="27" spans="1:2" x14ac:dyDescent="0.25">
      <c r="A27" s="5" t="s">
        <v>18</v>
      </c>
      <c r="B27" s="6">
        <v>403.68239999999997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0"/>
  <sheetViews>
    <sheetView workbookViewId="0">
      <selection activeCell="D20" sqref="D20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</cols>
  <sheetData>
    <row r="1" spans="1:5" x14ac:dyDescent="0.25">
      <c r="A1" t="s">
        <v>22</v>
      </c>
      <c r="B1" t="s">
        <v>42</v>
      </c>
      <c r="C1" t="s">
        <v>56</v>
      </c>
      <c r="D1" t="s">
        <v>57</v>
      </c>
      <c r="E1" t="s">
        <v>38</v>
      </c>
    </row>
    <row r="2" spans="1:5" x14ac:dyDescent="0.25">
      <c r="A2">
        <v>5</v>
      </c>
      <c r="B2" s="8" t="s">
        <v>6</v>
      </c>
      <c r="C2">
        <v>165</v>
      </c>
      <c r="D2">
        <v>2</v>
      </c>
      <c r="E2">
        <v>8250</v>
      </c>
    </row>
    <row r="3" spans="1:5" x14ac:dyDescent="0.25">
      <c r="A3">
        <v>6</v>
      </c>
      <c r="B3" s="8" t="s">
        <v>7</v>
      </c>
      <c r="C3">
        <v>140</v>
      </c>
      <c r="D3">
        <v>2</v>
      </c>
      <c r="E3">
        <v>7000</v>
      </c>
    </row>
    <row r="4" spans="1:5" x14ac:dyDescent="0.25">
      <c r="A4">
        <v>2</v>
      </c>
      <c r="B4" s="8" t="s">
        <v>3</v>
      </c>
      <c r="C4">
        <v>110</v>
      </c>
      <c r="D4">
        <v>2</v>
      </c>
      <c r="E4">
        <v>5500</v>
      </c>
    </row>
    <row r="5" spans="1:5" x14ac:dyDescent="0.25">
      <c r="A5">
        <v>8</v>
      </c>
      <c r="B5" s="8" t="s">
        <v>9</v>
      </c>
      <c r="C5">
        <v>105</v>
      </c>
      <c r="D5">
        <v>1</v>
      </c>
      <c r="E5">
        <v>5250</v>
      </c>
    </row>
    <row r="6" spans="1:5" x14ac:dyDescent="0.25">
      <c r="A6">
        <v>11</v>
      </c>
      <c r="B6" s="8" t="s">
        <v>12</v>
      </c>
      <c r="C6">
        <v>60</v>
      </c>
      <c r="D6">
        <v>2</v>
      </c>
      <c r="E6">
        <v>3000</v>
      </c>
    </row>
    <row r="7" spans="1:5" x14ac:dyDescent="0.25">
      <c r="A7">
        <v>3</v>
      </c>
      <c r="B7" s="8" t="s">
        <v>4</v>
      </c>
      <c r="C7">
        <v>50</v>
      </c>
      <c r="D7">
        <v>2</v>
      </c>
      <c r="E7">
        <v>2500</v>
      </c>
    </row>
    <row r="8" spans="1:5" x14ac:dyDescent="0.25">
      <c r="A8">
        <v>7</v>
      </c>
      <c r="B8" s="8" t="s">
        <v>8</v>
      </c>
      <c r="C8">
        <v>50</v>
      </c>
      <c r="D8">
        <v>1</v>
      </c>
      <c r="E8">
        <v>2500</v>
      </c>
    </row>
    <row r="9" spans="1:5" x14ac:dyDescent="0.25">
      <c r="A9">
        <v>1</v>
      </c>
      <c r="B9" s="8" t="s">
        <v>2</v>
      </c>
      <c r="C9">
        <v>45</v>
      </c>
      <c r="D9">
        <v>2</v>
      </c>
      <c r="E9">
        <v>2250</v>
      </c>
    </row>
    <row r="10" spans="1:5" x14ac:dyDescent="0.25">
      <c r="A10">
        <v>12</v>
      </c>
      <c r="B10" s="8" t="s">
        <v>19</v>
      </c>
      <c r="C10">
        <v>25</v>
      </c>
      <c r="D10">
        <v>1</v>
      </c>
      <c r="E10">
        <v>1250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4E0011E-01AE-4F2E-AFAD-990D974B5E40}">
  <ds:schemaRefs/>
</ds:datastoreItem>
</file>

<file path=customXml/itemProps2.xml><?xml version="1.0" encoding="utf-8"?>
<ds:datastoreItem xmlns:ds="http://schemas.openxmlformats.org/officeDocument/2006/customXml" ds:itemID="{06A11BA8-1329-4F17-A6F7-16AC81B74ED4}">
  <ds:schemaRefs/>
</ds:datastoreItem>
</file>

<file path=customXml/itemProps3.xml><?xml version="1.0" encoding="utf-8"?>
<ds:datastoreItem xmlns:ds="http://schemas.openxmlformats.org/officeDocument/2006/customXml" ds:itemID="{E4DD822A-4163-4CD9-A0D7-B0A83C19D36C}">
  <ds:schemaRefs/>
</ds:datastoreItem>
</file>

<file path=customXml/itemProps4.xml><?xml version="1.0" encoding="utf-8"?>
<ds:datastoreItem xmlns:ds="http://schemas.openxmlformats.org/officeDocument/2006/customXml" ds:itemID="{067AED0F-322C-4C88-A1DC-251216C822D1}">
  <ds:schemaRefs/>
</ds:datastoreItem>
</file>

<file path=customXml/itemProps5.xml><?xml version="1.0" encoding="utf-8"?>
<ds:datastoreItem xmlns:ds="http://schemas.openxmlformats.org/officeDocument/2006/customXml" ds:itemID="{BDB42571-C5C3-4104-8C92-59E174E10DA2}">
  <ds:schemaRefs/>
</ds:datastoreItem>
</file>

<file path=customXml/itemProps6.xml><?xml version="1.0" encoding="utf-8"?>
<ds:datastoreItem xmlns:ds="http://schemas.openxmlformats.org/officeDocument/2006/customXml" ds:itemID="{2972A693-C4F0-4880-9781-DC7E5D6A041D}">
  <ds:schemaRefs/>
</ds:datastoreItem>
</file>

<file path=customXml/itemProps7.xml><?xml version="1.0" encoding="utf-8"?>
<ds:datastoreItem xmlns:ds="http://schemas.openxmlformats.org/officeDocument/2006/customXml" ds:itemID="{69E76DC4-83E5-4FEB-860C-2098AEFB3AB5}">
  <ds:schemaRefs/>
</ds:datastoreItem>
</file>

<file path=customXml/itemProps8.xml><?xml version="1.0" encoding="utf-8"?>
<ds:datastoreItem xmlns:ds="http://schemas.openxmlformats.org/officeDocument/2006/customXml" ds:itemID="{C894BA95-1995-400D-A208-11DC5B90D09E}">
  <ds:schemaRefs/>
</ds:datastoreItem>
</file>

<file path=customXml/itemProps9.xml><?xml version="1.0" encoding="utf-8"?>
<ds:datastoreItem xmlns:ds="http://schemas.openxmlformats.org/officeDocument/2006/customXml" ds:itemID="{20D7618C-F06D-438C-AC4E-D243BF483AAA}">
  <ds:schemaRefs/>
</ds:datastoreItem>
</file>

<file path=customXml/itemProps10.xml><?xml version="1.0" encoding="utf-8"?>
<ds:datastoreItem xmlns:ds="http://schemas.openxmlformats.org/officeDocument/2006/customXml" ds:itemID="{399692C2-E30F-49D2-9780-6E4D69D49614}">
  <ds:schemaRefs/>
</ds:datastoreItem>
</file>

<file path=customXml/itemProps11.xml><?xml version="1.0" encoding="utf-8"?>
<ds:datastoreItem xmlns:ds="http://schemas.openxmlformats.org/officeDocument/2006/customXml" ds:itemID="{AF752C8A-BF7C-46A3-ABB5-D2E379A5FC7B}">
  <ds:schemaRefs/>
</ds:datastoreItem>
</file>

<file path=customXml/itemProps12.xml><?xml version="1.0" encoding="utf-8"?>
<ds:datastoreItem xmlns:ds="http://schemas.openxmlformats.org/officeDocument/2006/customXml" ds:itemID="{6DED8B6B-928E-472A-85EF-51D6AC32C004}">
  <ds:schemaRefs/>
</ds:datastoreItem>
</file>

<file path=customXml/itemProps13.xml><?xml version="1.0" encoding="utf-8"?>
<ds:datastoreItem xmlns:ds="http://schemas.openxmlformats.org/officeDocument/2006/customXml" ds:itemID="{16C5737E-864C-4E09-840C-00132DF78373}">
  <ds:schemaRefs/>
</ds:datastoreItem>
</file>

<file path=customXml/itemProps14.xml><?xml version="1.0" encoding="utf-8"?>
<ds:datastoreItem xmlns:ds="http://schemas.openxmlformats.org/officeDocument/2006/customXml" ds:itemID="{E5FDCA03-C120-4611-B039-472D56F094FD}">
  <ds:schemaRefs/>
</ds:datastoreItem>
</file>

<file path=customXml/itemProps15.xml><?xml version="1.0" encoding="utf-8"?>
<ds:datastoreItem xmlns:ds="http://schemas.openxmlformats.org/officeDocument/2006/customXml" ds:itemID="{CB20A191-66C0-4844-8DC0-E52381454311}">
  <ds:schemaRefs/>
</ds:datastoreItem>
</file>

<file path=customXml/itemProps16.xml><?xml version="1.0" encoding="utf-8"?>
<ds:datastoreItem xmlns:ds="http://schemas.openxmlformats.org/officeDocument/2006/customXml" ds:itemID="{5088E64E-04E5-4F4E-9D86-720F277BFA02}">
  <ds:schemaRefs/>
</ds:datastoreItem>
</file>

<file path=customXml/itemProps17.xml><?xml version="1.0" encoding="utf-8"?>
<ds:datastoreItem xmlns:ds="http://schemas.openxmlformats.org/officeDocument/2006/customXml" ds:itemID="{8ACF3527-FDDD-4859-9E5D-941BB7B79524}">
  <ds:schemaRefs/>
</ds:datastoreItem>
</file>

<file path=customXml/itemProps18.xml><?xml version="1.0" encoding="utf-8"?>
<ds:datastoreItem xmlns:ds="http://schemas.openxmlformats.org/officeDocument/2006/customXml" ds:itemID="{C04DCE70-D88D-459D-B9C0-FAF7324E72A5}">
  <ds:schemaRefs/>
</ds:datastoreItem>
</file>

<file path=customXml/itemProps19.xml><?xml version="1.0" encoding="utf-8"?>
<ds:datastoreItem xmlns:ds="http://schemas.openxmlformats.org/officeDocument/2006/customXml" ds:itemID="{3E56DDF0-C0AB-4E6B-BC9D-29A7E88EE79F}">
  <ds:schemaRefs/>
</ds:datastoreItem>
</file>

<file path=customXml/itemProps20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DBF639B8-23C1-467F-B91C-303D727B934C}">
  <ds:schemaRefs/>
</ds:datastoreItem>
</file>

<file path=customXml/itemProps22.xml><?xml version="1.0" encoding="utf-8"?>
<ds:datastoreItem xmlns:ds="http://schemas.openxmlformats.org/officeDocument/2006/customXml" ds:itemID="{F6498384-A532-4A44-872F-6DB322D4F751}">
  <ds:schemaRefs/>
</ds:datastoreItem>
</file>

<file path=customXml/itemProps23.xml><?xml version="1.0" encoding="utf-8"?>
<ds:datastoreItem xmlns:ds="http://schemas.openxmlformats.org/officeDocument/2006/customXml" ds:itemID="{3DCDEB18-18D3-4536-9644-AD6546AB4EC2}">
  <ds:schemaRefs/>
</ds:datastoreItem>
</file>

<file path=customXml/itemProps24.xml><?xml version="1.0" encoding="utf-8"?>
<ds:datastoreItem xmlns:ds="http://schemas.openxmlformats.org/officeDocument/2006/customXml" ds:itemID="{E22527E4-B860-4535-B17A-A93D3655B951}">
  <ds:schemaRefs/>
</ds:datastoreItem>
</file>

<file path=customXml/itemProps25.xml><?xml version="1.0" encoding="utf-8"?>
<ds:datastoreItem xmlns:ds="http://schemas.openxmlformats.org/officeDocument/2006/customXml" ds:itemID="{FB0A2152-370C-423B-ABDF-4E5B917EED5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3</vt:i4>
      </vt:variant>
    </vt:vector>
  </HeadingPairs>
  <TitlesOfParts>
    <vt:vector size="10" baseType="lpstr">
      <vt:lpstr>Player_Game_Stats</vt:lpstr>
      <vt:lpstr>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Chart of League Points 2026</vt:lpstr>
      <vt:lpstr>Chart AVG cash out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2026-01-23T17:03:25Z</cp:lastPrinted>
  <dcterms:created xsi:type="dcterms:W3CDTF">2026-01-03T10:30:32Z</dcterms:created>
  <dcterms:modified xsi:type="dcterms:W3CDTF">2026-01-25T22:45:27Z</dcterms:modified>
</cp:coreProperties>
</file>