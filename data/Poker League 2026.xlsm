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My Files\Poker\Poker League 2026\"/>
    </mc:Choice>
  </mc:AlternateContent>
  <xr:revisionPtr revIDLastSave="0" documentId="13_ncr:1_{9BCDE4DD-9674-41CC-A9AA-B16AE9433AAB}" xr6:coauthVersionLast="47" xr6:coauthVersionMax="47" xr10:uidLastSave="{00000000-0000-0000-0000-000000000000}"/>
  <bookViews>
    <workbookView xWindow="-110" yWindow="-110" windowWidth="38620" windowHeight="21100" firstSheet="1" activeTab="2" xr2:uid="{06FE5760-65FE-48A1-A895-CC350D9C2D98}"/>
  </bookViews>
  <sheets>
    <sheet name="Player_Game_Stats" sheetId="4" state="hidden" r:id="rId1"/>
    <sheet name="Chart AVG cash out" sheetId="26" r:id="rId2"/>
    <sheet name="Chart of League Points 2026" sheetId="29" r:id="rId3"/>
    <sheet name="Chart League Payments 2026" sheetId="34" r:id="rId4"/>
    <sheet name="Chart of Hosts" sheetId="28" r:id="rId5"/>
    <sheet name="qry_Player_Game_Stats_2026" sheetId="23" r:id="rId6"/>
    <sheet name="Top 10 per player for 2025 and " sheetId="24" r:id="rId7"/>
    <sheet name="Players Top 10 for 2026" sheetId="30" r:id="rId8"/>
    <sheet name="List of Cashouts per player for" sheetId="31" r:id="rId9"/>
    <sheet name="qry_Players" sheetId="36" r:id="rId10"/>
    <sheet name="qry_Player_Game_Stats" sheetId="37" r:id="rId11"/>
    <sheet name="qry_Game_Number" sheetId="38" r:id="rId12"/>
    <sheet name="Sum of ROI" sheetId="33" r:id="rId13"/>
    <sheet name="Champions League Payment 2026" sheetId="12" r:id="rId14"/>
  </sheets>
  <definedNames>
    <definedName name="_xlcn.WorksheetConnection_PokerLeague2026.xlsmPlayers_Top_10_for_2026_11" hidden="1">Players_Top_10_for_2026_1[]</definedName>
    <definedName name="_xlcn.WorksheetConnection_PokerLeague2026.xlsmqry_Game_Number1" hidden="1">qry_Game_Number[]</definedName>
    <definedName name="_xlcn.WorksheetConnection_PokerLeague2026.xlsmqry_Player_Game_Stats_20261" hidden="1">qry_Player_Game_Stats_2026[]</definedName>
    <definedName name="ExternalData_1" localSheetId="0" hidden="1">Player_Game_Stats!$A$1:$E$58</definedName>
    <definedName name="ExternalData_1" localSheetId="5" hidden="1">qry_Player_Game_Stats_2026!$A$1:$H$66</definedName>
    <definedName name="ExternalData_2" localSheetId="7" hidden="1">'Players Top 10 for 2026'!$A$1:$E$12</definedName>
    <definedName name="ExternalData_2" localSheetId="10" hidden="1">qry_Player_Game_Stats!$A$1:$E$115</definedName>
    <definedName name="ExternalData_2" localSheetId="9" hidden="1">qry_Players!$A$1:$B$14</definedName>
    <definedName name="ExternalData_3" localSheetId="8" hidden="1">'List of Cashouts per player for'!$A$1:$F$66</definedName>
    <definedName name="ExternalData_3" localSheetId="11" hidden="1">qry_Game_Number!$A$1:$D$17</definedName>
    <definedName name="ExternalData_4" localSheetId="6" hidden="1">'Top 10 per player for 2025 and '!$A$1:$E$12</definedName>
  </definedNames>
  <calcPr calcId="191029"/>
  <pivotCaches>
    <pivotCache cacheId="13" r:id="rId15"/>
    <pivotCache cacheId="54" r:id="rId16"/>
    <pivotCache cacheId="60" r:id="rId17"/>
    <pivotCache cacheId="63" r:id="rId18"/>
    <pivotCache cacheId="67" r:id="rId19"/>
    <pivotCache cacheId="71" r:id="rId20"/>
    <pivotCache cacheId="75" r:id="rId21"/>
  </pivotCaches>
  <extLst>
    <ext xmlns:x15="http://schemas.microsoft.com/office/spreadsheetml/2010/11/main" uri="{841E416B-1EF1-43b6-AB56-02D37102CBD5}">
      <x15:pivotCaches>
        <pivotCache cacheId="57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p 10 per player for 2025 and 2026_731dabda-4879-4646-9a2b-47d7eb84ee72" name="Top 10 per player for 2025 and 2026" connection="Query - Top 10 per player for 2025 and 2026"/>
          <x15:modelTable id="List of Cashouts per player for 2026_6623f430-c39e-4320-b93f-a10596031cc6" name="List of Cashouts per player for 2026" connection="Query - List of Cashouts per player for 2026"/>
          <x15:modelTable id="qry_Player_Game_Stats_2026 1_7516f9b4-4d6e-4d18-92a0-29550bed9ba2" name="qry_Player_Game_Stats_2026 1" connection="Query - qry_Player_Game_Stats_2026"/>
          <x15:modelTable id="qry_Player_Game_Stats_812ab302-d4a5-4938-927d-0c796c96a204" name="qry_Player_Game_Stats" connection="Query - qry_Player_Game_Stats"/>
          <x15:modelTable id="qry_Game_Number 1_bc3d06a1-7a8b-47f6-a73d-bcfcdb0c907a" name="qry_Game_Number 1" connection="Query - qry_Game_Number"/>
          <x15:modelTable id="qry_Players_0affc97d-f60a-45f5-abde-b1fe47077c60" name="qry_Players" connection="Query - qry_Players"/>
          <x15:modelTable id="qry_Player_Game_Stats_2026" name="qry_Player_Game_Stats_2026" connection="WorksheetConnection_Poker League 2026.xlsm!qry_Player_Game_Stats_2026"/>
          <x15:modelTable id="qry_Game_Number" name="qry_Game_Number" connection="WorksheetConnection_Poker League 2026.xlsm!qry_Game_Number"/>
          <x15:modelTable id="Players_Top_10_for_2026_1" name="Players_Top_10_for_2026_1" connection="WorksheetConnection_Poker League 2026.xlsm!Players_Top_10_for_2026_1"/>
        </x15:modelTables>
        <x15:modelRelationships>
          <x15:modelRelationship fromTable="List of Cashouts per player for 2026" fromColumn="Player_No" toTable="qry_Players" toColumn="Player_No"/>
          <x15:modelRelationship fromTable="qry_Player_Game_Stats" fromColumn="Player_No" toTable="qry_Players" toColumn="Player_No"/>
          <x15:modelRelationship fromTable="qry_Player_Game_Stats" fromColumn="Game_ID" toTable="qry_Game_Number 1" toColumn="Game_ID"/>
          <x15:modelRelationship fromTable="qry_Players" fromColumn="Player_No" toTable="Top 10 per player for 2025 and 2026" toColumn="Player_n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7" l="1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F2" i="30"/>
  <c r="F3" i="30"/>
  <c r="F4" i="30"/>
  <c r="F5" i="30"/>
  <c r="F6" i="30"/>
  <c r="F7" i="30"/>
  <c r="F8" i="30"/>
  <c r="F9" i="30"/>
  <c r="F10" i="30"/>
  <c r="F11" i="30"/>
  <c r="F12" i="30"/>
  <c r="D67" i="31"/>
  <c r="E67" i="31"/>
  <c r="F67" i="31"/>
  <c r="C56" i="12" l="1"/>
  <c r="C57" i="12"/>
  <c r="C58" i="12"/>
  <c r="C59" i="12"/>
  <c r="C60" i="12"/>
  <c r="C61" i="12"/>
  <c r="C62" i="12"/>
  <c r="C63" i="12"/>
  <c r="C64" i="12"/>
  <c r="C55" i="12"/>
  <c r="D65" i="12"/>
  <c r="B65" i="12"/>
  <c r="C65" i="12" l="1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1D8BF2-502D-4452-B9A1-A1119E082D26}" keepAlive="1" name="ModelConnection_ExternalData_1" description="Data Model" type="5" refreshedVersion="8" minRefreshableVersion="5" saveData="1">
    <dbPr connection="Data Model Connection" command="qry_Player_Game_Stats_2026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A542E-9FF4-4E4F-94D6-82C3AA0E24A9}" keepAlive="1" name="ModelConnection_ExternalData_2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470250A-9A90-4062-B1FB-AA85F3A0D650}" keepAlive="1" name="ModelConnection_ExternalData_21" description="Data Model" type="5" refreshedVersion="8" minRefreshableVersion="5" saveData="1">
    <dbPr connection="Data Model Connection" command="qry_Player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33446E23-7E03-4DAA-A097-1F8314CFCEF7}" keepAlive="1" name="ModelConnection_ExternalData_3" description="Data Model" type="5" refreshedVersion="8" minRefreshableVersion="5" saveData="1">
    <dbPr connection="Data Model Connection" command="qry_Game_Number 1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E9221A5D-86B7-4E10-8470-CD476640776C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450a972d-1f60-41e7-8321-fe298e371818"/>
      </ext>
    </extLst>
  </connection>
  <connection id="10" xr16:uid="{F5D16C65-A252-4C4E-B993-380BFA97464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7d009b3c-5e26-446b-818e-3a4ef047298f"/>
      </ext>
    </extLst>
  </connection>
  <connection id="11" xr16:uid="{CD7CD37C-169A-4106-AF41-4DEB540C79E3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0927dc7e-8983-41ab-8836-de944e8483c8"/>
      </ext>
    </extLst>
  </connection>
  <connection id="12" xr16:uid="{C75581C5-0F60-4B12-8863-48932983AFA6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1334c5e1-2290-4308-9c8b-8bbb898f158c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B3A33278-93AB-495C-B71F-38BF7FADD10A}" name="WorksheetConnection_Poker League 2026.xlsm!Players_Top_10_for_2026_1" type="102" refreshedVersion="8" minRefreshableVersion="5">
    <extLst>
      <ext xmlns:x15="http://schemas.microsoft.com/office/spreadsheetml/2010/11/main" uri="{DE250136-89BD-433C-8126-D09CA5730AF9}">
        <x15:connection id="Players_Top_10_for_2026_1">
          <x15:rangePr sourceName="_xlcn.WorksheetConnection_PokerLeague2026.xlsmPlayers_Top_10_for_2026_11"/>
        </x15:connection>
      </ext>
    </extLst>
  </connection>
  <connection id="16" xr16:uid="{50102344-26F6-4D03-9F15-6DF8285610D9}" name="WorksheetConnection_Poker League 2026.xlsm!qry_Game_Number" type="102" refreshedVersion="8" minRefreshableVersion="5">
    <extLst>
      <ext xmlns:x15="http://schemas.microsoft.com/office/spreadsheetml/2010/11/main" uri="{DE250136-89BD-433C-8126-D09CA5730AF9}">
        <x15:connection id="qry_Game_Number">
          <x15:rangePr sourceName="_xlcn.WorksheetConnection_PokerLeague2026.xlsmqry_Game_Number1"/>
        </x15:connection>
      </ext>
    </extLst>
  </connection>
  <connection id="17" xr16:uid="{B4053555-7CF3-43DE-B656-C45A8D66804A}" name="WorksheetConnection_Poker League 2026.xlsm!qry_Player_Game_Stats_2026" type="102" refreshedVersion="8" minRefreshableVersion="5">
    <extLst>
      <ext xmlns:x15="http://schemas.microsoft.com/office/spreadsheetml/2010/11/main" uri="{DE250136-89BD-433C-8126-D09CA5730AF9}">
        <x15:connection id="qry_Player_Game_Stats_2026">
          <x15:rangePr sourceName="_xlcn.WorksheetConnection_PokerLeague2026.xlsmqry_Player_Game_Stats_20261"/>
        </x15:connection>
      </ext>
    </extLst>
  </connection>
</connections>
</file>

<file path=xl/sharedStrings.xml><?xml version="1.0" encoding="utf-8"?>
<sst xmlns="http://schemas.openxmlformats.org/spreadsheetml/2006/main" count="393" uniqueCount="83">
  <si>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</si>
  <si>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</si>
  <si>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</si>
  <si>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</si>
  <si>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</si>
  <si>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</si>
  <si>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</si>
  <si>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</si>
  <si>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</si>
  <si>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</si>
  <si>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</si>
  <si>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</si>
  <si>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</si>
  <si>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</si>
  <si>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</si>
  <si>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</si>
  <si>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</si>
  <si>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</si>
  <si>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</si>
  <si>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</si>
  <si>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</si>
  <si>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</si>
  <si>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</si>
  <si>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</si>
  <si>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</si>
  <si>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</si>
  <si>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</si>
  <si>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</si>
  <si>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</si>
  <si>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</si>
  <si>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</si>
  <si>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</si>
  <si>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</si>
  <si>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</si>
  <si>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</si>
  <si>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</si>
  <si>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</si>
  <si>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</si>
  <si>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</si>
  <si>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</si>
  <si>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</si>
  <si>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</si>
  <si>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</si>
  <si>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</si>
  <si>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</si>
  <si>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</si>
  <si>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</si>
  <si>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</si>
  <si>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</si>
  <si>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</si>
  <si>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</si>
  <si>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</si>
  <si>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</si>
  <si>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</si>
  <si>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</si>
  <si>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</si>
  <si>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</si>
  <si>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</si>
  <si>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</si>
  <si>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</si>
  <si>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</si>
  <si>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</si>
  <si>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</si>
  <si>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</si>
  <si>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</si>
  <si>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</si>
  <si>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</si>
  <si>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</si>
  <si>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</si>
  <si>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</si>
  <si>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</si>
  <si>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</si>
  <si>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</si>
  <si>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</si>
  <si>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</si>
  <si>
    <t>Count of Games Played</t>
  </si>
  <si>
    <t>22/05/2026</t>
  </si>
  <si>
    <t>12/06/2026</t>
  </si>
  <si>
    <t>John Meehan</t>
  </si>
  <si>
    <t>Avg Per Night</t>
  </si>
  <si>
    <t>Player Name</t>
  </si>
  <si>
    <t>Sum of League_Points</t>
  </si>
  <si>
    <t>17/07/2026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</si>
</sst>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€&quot;#,##0.00;\-&quot;€&quot;#,##0.00"/>
    <numFmt numFmtId="164" formatCode="&quot;€&quot;#,##0.00"/>
    <numFmt numFmtId="165" formatCode="0_ ;\-0\ "/>
    <numFmt numFmtId="166" formatCode="[$-1809]d\ mmmm\ yyyy;@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2" fontId="0" fillId="0" borderId="0" xfId="0" applyNumberFormat="1"/>
    <xf numFmtId="0" fontId="2" fillId="0" borderId="0" xfId="0" applyFont="1"/>
    <xf numFmtId="0" fontId="0" fillId="2" borderId="1" xfId="0" applyFill="1" applyBorder="1"/>
    <xf numFmtId="164" fontId="0" fillId="2" borderId="1" xfId="0" applyNumberFormat="1" applyFill="1" applyBorder="1"/>
    <xf numFmtId="14" fontId="0" fillId="0" borderId="1" xfId="0" applyNumberFormat="1" applyBorder="1"/>
    <xf numFmtId="7" fontId="0" fillId="0" borderId="1" xfId="0" applyNumberFormat="1" applyBorder="1"/>
    <xf numFmtId="0" fontId="0" fillId="0" borderId="5" xfId="0" applyBorder="1"/>
    <xf numFmtId="164" fontId="0" fillId="0" borderId="5" xfId="0" applyNumberFormat="1" applyBorder="1"/>
    <xf numFmtId="164" fontId="5" fillId="0" borderId="1" xfId="0" applyNumberFormat="1" applyFont="1" applyBorder="1"/>
    <xf numFmtId="0" fontId="4" fillId="3" borderId="1" xfId="0" applyFont="1" applyFill="1" applyBorder="1" applyAlignment="1">
      <alignment horizontal="center" vertical="justify" wrapText="1"/>
    </xf>
    <xf numFmtId="14" fontId="4" fillId="3" borderId="1" xfId="0" applyNumberFormat="1" applyFont="1" applyFill="1" applyBorder="1" applyAlignment="1">
      <alignment horizontal="center" vertical="justify" wrapText="1"/>
    </xf>
    <xf numFmtId="1" fontId="0" fillId="0" borderId="0" xfId="0" applyNumberFormat="1"/>
    <xf numFmtId="3" fontId="0" fillId="0" borderId="0" xfId="0" applyNumberForma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0" fontId="5" fillId="0" borderId="0" xfId="0" applyNumberFormat="1" applyFont="1"/>
    <xf numFmtId="0" fontId="0" fillId="0" borderId="1" xfId="0" applyNumberFormat="1" applyBorder="1"/>
  </cellXfs>
  <cellStyles count="1">
    <cellStyle name="Normal" xfId="0" builtinId="0"/>
  </cellStyles>
  <dxfs count="1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" formatCode="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Relationship Id="rId7" Type="http://schemas.openxmlformats.org/officeDocument/2006/relationships/worksheet" Target="worksheets/sheet3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9" Type="http://schemas.openxmlformats.org/officeDocument/2006/relationships/calcChain" Target="calcChain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5" Type="http://schemas.openxmlformats.org/officeDocument/2006/relationships/chartsheet" Target="chartsheets/sheet4.xml"/><Relationship Id="rId61" Type="http://schemas.openxmlformats.org/officeDocument/2006/relationships/customXml" Target="../customXml/item32.xml"/><Relationship Id="rId19" Type="http://schemas.openxmlformats.org/officeDocument/2006/relationships/pivotCacheDefinition" Target="pivotCache/pivotCacheDefinition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62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worksheet" Target="worksheets/sheet6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openxmlformats.org/officeDocument/2006/relationships/customXml" Target="../customXml/item31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'!$A$18:$A$28</c:f>
              <c:strCache>
                <c:ptCount val="10"/>
                <c:pt idx="0">
                  <c:v>Ciaran Lynch</c:v>
                </c:pt>
                <c:pt idx="1">
                  <c:v>Kevin Lee</c:v>
                </c:pt>
                <c:pt idx="2">
                  <c:v>Steven Black</c:v>
                </c:pt>
                <c:pt idx="3">
                  <c:v>Morgan Mooney</c:v>
                </c:pt>
                <c:pt idx="4">
                  <c:v>Brendan Stevenson</c:v>
                </c:pt>
                <c:pt idx="5">
                  <c:v>Martin Hunter</c:v>
                </c:pt>
                <c:pt idx="6">
                  <c:v>Seamus Diver</c:v>
                </c:pt>
                <c:pt idx="7">
                  <c:v>Barry Hunter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'!$B$18:$B$28</c:f>
              <c:numCache>
                <c:formatCode>"€"#,##0.00</c:formatCode>
                <c:ptCount val="10"/>
                <c:pt idx="0">
                  <c:v>66.111099999999993</c:v>
                </c:pt>
                <c:pt idx="1">
                  <c:v>62.5</c:v>
                </c:pt>
                <c:pt idx="2">
                  <c:v>45.625</c:v>
                </c:pt>
                <c:pt idx="3">
                  <c:v>43.333300000000001</c:v>
                </c:pt>
                <c:pt idx="4">
                  <c:v>43.181800000000003</c:v>
                </c:pt>
                <c:pt idx="5">
                  <c:v>41.5625</c:v>
                </c:pt>
                <c:pt idx="6">
                  <c:v>37.142899999999997</c:v>
                </c:pt>
                <c:pt idx="7">
                  <c:v>33.125</c:v>
                </c:pt>
                <c:pt idx="8">
                  <c:v>30.5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qry_Player_Game_Stats_2026!$O$2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qry_Player_Game_Stats_2026!$N$3:$N$14</c:f>
              <c:strCache>
                <c:ptCount val="11"/>
                <c:pt idx="0">
                  <c:v>Kevin Lee</c:v>
                </c:pt>
                <c:pt idx="1">
                  <c:v>Morgan Mooney</c:v>
                </c:pt>
                <c:pt idx="2">
                  <c:v>Martin Hunter</c:v>
                </c:pt>
                <c:pt idx="3">
                  <c:v>Ciaran Lynch</c:v>
                </c:pt>
                <c:pt idx="4">
                  <c:v>Barry Hunter</c:v>
                </c:pt>
                <c:pt idx="5">
                  <c:v>Steven Black</c:v>
                </c:pt>
                <c:pt idx="6">
                  <c:v>Brendan Stevenson</c:v>
                </c:pt>
                <c:pt idx="7">
                  <c:v>Mark Hunter</c:v>
                </c:pt>
                <c:pt idx="8">
                  <c:v>Seamus Diver</c:v>
                </c:pt>
                <c:pt idx="9">
                  <c:v>John Meehan</c:v>
                </c:pt>
                <c:pt idx="10">
                  <c:v>Ryan Mc Elchar</c:v>
                </c:pt>
              </c:strCache>
            </c:strRef>
          </c:cat>
          <c:val>
            <c:numRef>
              <c:f>qry_Player_Game_Stats_2026!$O$3:$O$14</c:f>
              <c:numCache>
                <c:formatCode>0_ ;\-0\ </c:formatCode>
                <c:ptCount val="11"/>
                <c:pt idx="0">
                  <c:v>32000</c:v>
                </c:pt>
                <c:pt idx="1">
                  <c:v>22000</c:v>
                </c:pt>
                <c:pt idx="2">
                  <c:v>21750</c:v>
                </c:pt>
                <c:pt idx="3">
                  <c:v>21750</c:v>
                </c:pt>
                <c:pt idx="4">
                  <c:v>18250</c:v>
                </c:pt>
                <c:pt idx="5">
                  <c:v>13750</c:v>
                </c:pt>
                <c:pt idx="6">
                  <c:v>12000</c:v>
                </c:pt>
                <c:pt idx="7">
                  <c:v>10000</c:v>
                </c:pt>
                <c:pt idx="8">
                  <c:v>5500</c:v>
                </c:pt>
                <c:pt idx="9">
                  <c:v>4000</c:v>
                </c:pt>
                <c:pt idx="10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B-4C29-938A-D5C22C0E3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Kevin Lee</c:v>
                </c:pt>
                <c:pt idx="4">
                  <c:v>Ciaran Lynch</c:v>
                </c:pt>
                <c:pt idx="5">
                  <c:v>Brendan Stevenson</c:v>
                </c:pt>
                <c:pt idx="6">
                  <c:v>Steven Black</c:v>
                </c:pt>
                <c:pt idx="7">
                  <c:v>Ryan Mc Elchar</c:v>
                </c:pt>
                <c:pt idx="8">
                  <c:v>Mark Hunter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80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Ciaran Lynch</c:v>
              </c:pt>
              <c:pt idx="2">
                <c:v>Morgan Mooney</c:v>
              </c:pt>
              <c:pt idx="3">
                <c:v>Kevin Lee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4</c:v>
              </c:pt>
              <c:pt idx="2">
                <c:v>3</c:v>
              </c:pt>
              <c:pt idx="3">
                <c:v>3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103-4DE2-B58D-512B3CFAE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527052198698827E-2"/>
          <c:y val="7.4648522501296929E-2"/>
          <c:w val="0.94688771430226415"/>
          <c:h val="0.878415552846110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ROI'!$A$2:$A$13</c:f>
              <c:strCache>
                <c:ptCount val="11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John Meehan</c:v>
                </c:pt>
                <c:pt idx="4">
                  <c:v>Steven Black</c:v>
                </c:pt>
                <c:pt idx="5">
                  <c:v>Brendan Stevenson</c:v>
                </c:pt>
                <c:pt idx="6">
                  <c:v>Seamus Diver</c:v>
                </c:pt>
                <c:pt idx="7">
                  <c:v>Morgan Mooney</c:v>
                </c:pt>
                <c:pt idx="8">
                  <c:v>Mark Hunter</c:v>
                </c:pt>
                <c:pt idx="9">
                  <c:v>Barry Hunter</c:v>
                </c:pt>
                <c:pt idx="10">
                  <c:v>Ryan Mc Elchar</c:v>
                </c:pt>
              </c:strCache>
            </c:strRef>
          </c:cat>
          <c:val>
            <c:numRef>
              <c:f>'Sum of ROI'!$B$2:$B$13</c:f>
              <c:numCache>
                <c:formatCode>"€"#,##0.00</c:formatCode>
                <c:ptCount val="11"/>
                <c:pt idx="0">
                  <c:v>265</c:v>
                </c:pt>
                <c:pt idx="1">
                  <c:v>185</c:v>
                </c:pt>
                <c:pt idx="2">
                  <c:v>110</c:v>
                </c:pt>
                <c:pt idx="3">
                  <c:v>30</c:v>
                </c:pt>
                <c:pt idx="4">
                  <c:v>-25</c:v>
                </c:pt>
                <c:pt idx="5">
                  <c:v>-35</c:v>
                </c:pt>
                <c:pt idx="6">
                  <c:v>-50</c:v>
                </c:pt>
                <c:pt idx="7">
                  <c:v>-80</c:v>
                </c:pt>
                <c:pt idx="8">
                  <c:v>-95</c:v>
                </c:pt>
                <c:pt idx="9">
                  <c:v>-160</c:v>
                </c:pt>
                <c:pt idx="10">
                  <c:v>-195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tabSelected="1" zoomScale="1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114298</xdr:rowOff>
    </xdr:from>
    <xdr:to>
      <xdr:col>25</xdr:col>
      <xdr:colOff>482599</xdr:colOff>
      <xdr:row>51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21.470672685187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7-18T00:00:00" count="9">
        <d v="2026-01-02T00:00:00"/>
        <d v="2026-01-23T00:00:00"/>
        <d v="2026-02-13T00:00:00"/>
        <d v="2026-03-06T00:00:00"/>
        <d v="2026-04-03T00:00:00"/>
        <d v="2026-04-24T00:00:00"/>
        <d v="2026-05-22T00:00:00"/>
        <d v="2026-06-12T00:00:00"/>
        <d v="2026-07-17T00:00:00"/>
      </sharedItems>
    </cacheField>
    <cacheField name="[Measures].[Sum of League Points 2]" caption="Sum of League Points 2" numFmtId="0" hierarchy="58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21.471586342595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Players_Top_10_for_2026_1].[Player_Name].[Player_Name]" caption="Player_Name" numFmtId="0" hierarchy="7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_Points]" caption="Sum of League_Points" numFmtId="0" hierarchy="59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2" memberValueDatatype="130" unbalanced="0">
      <fieldsUsage count="2">
        <fieldUsage x="-1"/>
        <fieldUsage x="0"/>
      </fieldsUsage>
    </cacheHierarchy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21.471683796299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 1].[qry_Players.Player_Name].[qry_Players.Player_Name]" caption="qry_Players.Player_Name" numFmtId="0" hierarchy="19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 2]" caption="Count of Player_No_Host 2" numFmtId="0" hierarchy="63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21.471758333333" backgroundQuery="1" createdVersion="8" refreshedVersion="8" minRefreshableVersion="3" recordCount="0" supportSubquery="1" supportAdvancedDrill="1" xr:uid="{6509EC4A-8CCE-4F75-BB47-B11EA45ABF09}">
  <cacheSource type="external" connectionId="14"/>
  <cacheFields count="4">
    <cacheField name="[qry_Player_Game_Stats_2026].[qry_Players.Player_Name].[qry_Players.Player_Name]" caption="qry_Players.Player_Name" numFmtId="0" hierarchy="27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Count of Game_ID]" caption="Count of Game_ID" numFmtId="0" hierarchy="65" level="32767"/>
    <cacheField name="[Measures].[Sum of ROI]" caption="Sum of ROI" numFmtId="0" hierarchy="66" level="32767"/>
    <cacheField name="[Measures].[Sum of League Points]" caption="Sum of League Points" numFmtId="0" hierarchy="67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21.471974189815" createdVersion="8" refreshedVersion="8" minRefreshableVersion="3" recordCount="11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3"/>
    </cacheField>
    <cacheField name="Player_Name" numFmtId="0">
      <sharedItems count="11">
        <s v="John Meehan"/>
        <s v="Ciaran Lynch"/>
        <s v="Kevin Lee"/>
        <s v="Steven Black"/>
        <s v="Morgan Mooney"/>
        <s v="Brendan Stevenson"/>
        <s v="Martin Hunter"/>
        <s v="Seamus Diver"/>
        <s v="Barry Hunter"/>
        <s v="Mark Hunter"/>
        <s v="Ryan Mc Elchar"/>
      </sharedItems>
    </cacheField>
    <cacheField name="Total_Cash_Out" numFmtId="164">
      <sharedItems containsSemiMixedTypes="0" containsString="0" containsNumber="1" containsInteger="1" minValue="35" maxValue="1000"/>
    </cacheField>
    <cacheField name="Games_Played" numFmtId="0">
      <sharedItems containsSemiMixedTypes="0" containsString="0" containsNumber="1" containsInteger="1" minValue="1" maxValue="16"/>
    </cacheField>
    <cacheField name="Average Cash Per Game 2025 - 2026" numFmtId="164">
      <sharedItems containsSemiMixedTypes="0" containsString="0" containsNumber="1" minValue="7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21.478239583332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22/05/2026" numFmtId="164">
      <sharedItems containsString="0" containsBlank="1" containsNumber="1" containsInteger="1" minValue="10" maxValue="20"/>
    </cacheField>
    <cacheField name="12/06/2026" numFmtId="164">
      <sharedItems containsString="0" containsBlank="1" containsNumber="1" containsInteger="1" minValue="10" maxValue="20"/>
    </cacheField>
    <cacheField name="17/07/2026" numFmtId="164">
      <sharedItems containsString="0" containsBlank="1" containsNumber="1" containsInteger="1" minValue="10" maxValue="10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21.47829363426" createdVersion="8" refreshedVersion="8" minRefreshableVersion="3" recordCount="114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6"/>
    </cacheField>
    <cacheField name="Player_No" numFmtId="0">
      <sharedItems containsSemiMixedTypes="0" containsString="0" containsNumber="1" containsInteger="1" minValue="1" maxValue="13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60"/>
    </cacheField>
    <cacheField name="ROI" numFmtId="164">
      <sharedItems containsSemiMixedTypes="0" containsString="0" containsNumber="1" containsInteger="1" minValue="-70" maxValue="110"/>
    </cacheField>
    <cacheField name="Player Name" numFmtId="164">
      <sharedItems count="11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  <s v="John Meeh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21.471682870368" backgroundQuery="1" createdVersion="8" refreshedVersion="8" minRefreshableVersion="3" recordCount="0" supportSubquery="1" supportAdvancedDrill="1" xr:uid="{3A8CCDDE-B061-4CDC-88D8-29F8A9478A8E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 1].[qry_Players.Player_Name].[qry_Players.Player_Name]" caption="qry_Players.Player_Name" numFmtId="0" hierarchy="19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 2]" caption="Count of Player_No_Host 2" numFmtId="0" hierarchy="63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3"/>
    <x v="0"/>
    <n v="80"/>
    <n v="1"/>
    <n v="80"/>
  </r>
  <r>
    <n v="2"/>
    <x v="1"/>
    <n v="595"/>
    <n v="9"/>
    <n v="66.111099999999993"/>
  </r>
  <r>
    <n v="6"/>
    <x v="2"/>
    <n v="1000"/>
    <n v="16"/>
    <n v="62.5"/>
  </r>
  <r>
    <n v="8"/>
    <x v="3"/>
    <n v="365"/>
    <n v="8"/>
    <n v="45.625"/>
  </r>
  <r>
    <n v="5"/>
    <x v="4"/>
    <n v="650"/>
    <n v="15"/>
    <n v="43.333300000000001"/>
  </r>
  <r>
    <n v="7"/>
    <x v="5"/>
    <n v="475"/>
    <n v="11"/>
    <n v="43.181800000000003"/>
  </r>
  <r>
    <n v="1"/>
    <x v="6"/>
    <n v="665"/>
    <n v="16"/>
    <n v="41.5625"/>
  </r>
  <r>
    <n v="4"/>
    <x v="7"/>
    <n v="260"/>
    <n v="7"/>
    <n v="37.142899999999997"/>
  </r>
  <r>
    <n v="3"/>
    <x v="8"/>
    <n v="530"/>
    <n v="16"/>
    <n v="33.125"/>
  </r>
  <r>
    <n v="11"/>
    <x v="9"/>
    <n v="305"/>
    <n v="10"/>
    <n v="30.5"/>
  </r>
  <r>
    <n v="12"/>
    <x v="10"/>
    <n v="35"/>
    <n v="5"/>
    <n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n v="10"/>
    <n v="10"/>
    <n v="10"/>
    <m/>
    <m/>
    <m/>
    <m/>
    <m/>
    <m/>
    <n v="80"/>
  </r>
  <r>
    <n v="2"/>
    <x v="1"/>
    <n v="10"/>
    <n v="10"/>
    <n v="10"/>
    <n v="10"/>
    <m/>
    <m/>
    <n v="10"/>
    <n v="10"/>
    <m/>
    <m/>
    <m/>
    <m/>
    <m/>
    <m/>
    <n v="60"/>
  </r>
  <r>
    <n v="3"/>
    <x v="2"/>
    <n v="10"/>
    <n v="10"/>
    <n v="10"/>
    <m/>
    <m/>
    <n v="20"/>
    <n v="20"/>
    <m/>
    <m/>
    <m/>
    <m/>
    <m/>
    <m/>
    <m/>
    <n v="7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n v="10"/>
    <n v="10"/>
    <n v="10"/>
    <m/>
    <m/>
    <m/>
    <m/>
    <m/>
    <m/>
    <n v="70"/>
  </r>
  <r>
    <n v="6"/>
    <x v="5"/>
    <n v="10"/>
    <n v="10"/>
    <n v="10"/>
    <n v="10"/>
    <n v="10"/>
    <m/>
    <n v="10"/>
    <n v="10"/>
    <m/>
    <m/>
    <m/>
    <m/>
    <m/>
    <m/>
    <n v="70"/>
  </r>
  <r>
    <n v="7"/>
    <x v="6"/>
    <m/>
    <m/>
    <n v="10"/>
    <n v="10"/>
    <n v="10"/>
    <n v="10"/>
    <n v="10"/>
    <m/>
    <m/>
    <m/>
    <m/>
    <m/>
    <m/>
    <m/>
    <n v="50"/>
  </r>
  <r>
    <n v="8"/>
    <x v="7"/>
    <n v="10"/>
    <n v="10"/>
    <m/>
    <n v="10"/>
    <m/>
    <m/>
    <m/>
    <n v="10"/>
    <m/>
    <m/>
    <m/>
    <m/>
    <m/>
    <m/>
    <n v="4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n v="10"/>
    <n v="10"/>
    <m/>
    <m/>
    <m/>
    <m/>
    <m/>
    <m/>
    <m/>
    <m/>
    <n v="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n v="1"/>
    <n v="1"/>
    <n v="30"/>
    <n v="20"/>
    <n v="50"/>
    <n v="0"/>
    <x v="0"/>
  </r>
  <r>
    <n v="1"/>
    <n v="2"/>
    <n v="30"/>
    <n v="0"/>
    <n v="105"/>
    <n v="75"/>
    <x v="1"/>
  </r>
  <r>
    <n v="1"/>
    <n v="3"/>
    <n v="30"/>
    <n v="20"/>
    <n v="40"/>
    <n v="-10"/>
    <x v="2"/>
  </r>
  <r>
    <n v="1"/>
    <n v="4"/>
    <n v="30"/>
    <n v="0"/>
    <n v="20"/>
    <n v="-10"/>
    <x v="3"/>
  </r>
  <r>
    <n v="1"/>
    <n v="5"/>
    <n v="30"/>
    <n v="20"/>
    <n v="25"/>
    <n v="-25"/>
    <x v="4"/>
  </r>
  <r>
    <n v="1"/>
    <n v="6"/>
    <n v="30"/>
    <n v="0"/>
    <n v="0"/>
    <n v="-30"/>
    <x v="5"/>
  </r>
  <r>
    <n v="2"/>
    <n v="1"/>
    <n v="30"/>
    <n v="0"/>
    <n v="25"/>
    <n v="-5"/>
    <x v="0"/>
  </r>
  <r>
    <n v="2"/>
    <n v="2"/>
    <n v="30"/>
    <n v="0"/>
    <n v="55"/>
    <n v="25"/>
    <x v="1"/>
  </r>
  <r>
    <n v="2"/>
    <n v="3"/>
    <n v="30"/>
    <n v="20"/>
    <n v="30"/>
    <n v="-20"/>
    <x v="2"/>
  </r>
  <r>
    <n v="2"/>
    <n v="4"/>
    <n v="30"/>
    <n v="20"/>
    <n v="25"/>
    <n v="-25"/>
    <x v="3"/>
  </r>
  <r>
    <n v="2"/>
    <n v="5"/>
    <n v="30"/>
    <n v="20"/>
    <n v="0"/>
    <n v="-50"/>
    <x v="4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  <r>
    <n v="14"/>
    <n v="1"/>
    <n v="30"/>
    <n v="20"/>
    <n v="35"/>
    <n v="-15"/>
    <x v="0"/>
  </r>
  <r>
    <n v="14"/>
    <n v="3"/>
    <n v="30"/>
    <n v="20"/>
    <n v="80"/>
    <n v="30"/>
    <x v="2"/>
  </r>
  <r>
    <n v="14"/>
    <n v="4"/>
    <n v="30"/>
    <n v="20"/>
    <n v="65"/>
    <n v="15"/>
    <x v="3"/>
  </r>
  <r>
    <n v="14"/>
    <n v="5"/>
    <n v="30"/>
    <n v="20"/>
    <n v="160"/>
    <n v="110"/>
    <x v="4"/>
  </r>
  <r>
    <n v="14"/>
    <n v="7"/>
    <n v="30"/>
    <n v="20"/>
    <n v="0"/>
    <n v="-50"/>
    <x v="8"/>
  </r>
  <r>
    <n v="14"/>
    <n v="12"/>
    <n v="30"/>
    <n v="20"/>
    <n v="10"/>
    <n v="-40"/>
    <x v="9"/>
  </r>
  <r>
    <n v="14"/>
    <n v="6"/>
    <n v="30"/>
    <n v="20"/>
    <n v="0"/>
    <n v="-50"/>
    <x v="5"/>
  </r>
  <r>
    <n v="15"/>
    <n v="1"/>
    <n v="30"/>
    <n v="20"/>
    <n v="30"/>
    <n v="-20"/>
    <x v="0"/>
  </r>
  <r>
    <n v="15"/>
    <n v="2"/>
    <n v="30"/>
    <n v="20"/>
    <n v="90"/>
    <n v="40"/>
    <x v="1"/>
  </r>
  <r>
    <n v="15"/>
    <n v="3"/>
    <n v="30"/>
    <n v="20"/>
    <n v="0"/>
    <n v="-50"/>
    <x v="2"/>
  </r>
  <r>
    <n v="15"/>
    <n v="5"/>
    <n v="30"/>
    <n v="20"/>
    <n v="0"/>
    <n v="-50"/>
    <x v="4"/>
  </r>
  <r>
    <n v="15"/>
    <n v="6"/>
    <n v="30"/>
    <n v="20"/>
    <n v="120"/>
    <n v="70"/>
    <x v="5"/>
  </r>
  <r>
    <n v="15"/>
    <n v="13"/>
    <n v="30"/>
    <n v="20"/>
    <n v="80"/>
    <n v="30"/>
    <x v="10"/>
  </r>
  <r>
    <n v="15"/>
    <n v="7"/>
    <n v="30"/>
    <n v="20"/>
    <n v="30"/>
    <n v="-20"/>
    <x v="8"/>
  </r>
  <r>
    <n v="16"/>
    <n v="1"/>
    <n v="30"/>
    <n v="20"/>
    <n v="95"/>
    <n v="45"/>
    <x v="0"/>
  </r>
  <r>
    <n v="16"/>
    <n v="2"/>
    <n v="30"/>
    <n v="20"/>
    <n v="70"/>
    <n v="20"/>
    <x v="1"/>
  </r>
  <r>
    <n v="16"/>
    <n v="3"/>
    <n v="30"/>
    <n v="20"/>
    <n v="0"/>
    <n v="-50"/>
    <x v="2"/>
  </r>
  <r>
    <n v="16"/>
    <n v="5"/>
    <n v="30"/>
    <n v="20"/>
    <n v="5"/>
    <n v="-45"/>
    <x v="4"/>
  </r>
  <r>
    <n v="16"/>
    <n v="6"/>
    <n v="30"/>
    <n v="20"/>
    <n v="25"/>
    <n v="-25"/>
    <x v="5"/>
  </r>
  <r>
    <n v="16"/>
    <n v="8"/>
    <n v="30"/>
    <n v="20"/>
    <n v="105"/>
    <n v="55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5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1"/>
    </i>
    <i>
      <x v="4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unt of Player_No_Host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4</x15:v>
          </x15:c>
        </x15:pivotRow>
        <x15:pivotRow count="1">
          <x15:c>
            <x15:v>4</x15:v>
          </x15:c>
        </x15:pivotRow>
        <x15:pivotRow count="1">
          <x15:c>
            <x15:v>3</x15:v>
          </x15:c>
        </x15:pivotRow>
        <x15:pivotRow count="1">
          <x15:c>
            <x15:v>3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63" applyNumberFormats="0" applyBorderFormats="0" applyFontFormats="0" applyPatternFormats="0" applyAlignmentFormats="0" applyWidthHeightFormats="1" dataCaption="Values" tag="1ec23470-5531-4d71-9fd4-5a4824864a43" updatedVersion="8" minRefreshableVersion="3" useAutoFormatting="1" subtotalHiddenItems="1" itemPrintTitles="1" createdVersion="8" indent="0" outline="1" outlineData="1" multipleFieldFilters="0" rowHeaderCaption="Player">
  <location ref="N28:Q40" firstHeaderRow="0" firstDataRow="1" firstDataCol="1"/>
  <pivotFields count="4"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2">
    <i>
      <x v="4"/>
    </i>
    <i>
      <x v="7"/>
    </i>
    <i>
      <x v="6"/>
    </i>
    <i>
      <x v="2"/>
    </i>
    <i>
      <x/>
    </i>
    <i>
      <x v="10"/>
    </i>
    <i>
      <x v="1"/>
    </i>
    <i>
      <x v="5"/>
    </i>
    <i>
      <x v="9"/>
    </i>
    <i>
      <x v="3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Games Played" fld="1" subtotal="count" baseField="0" baseItem="4"/>
    <dataField name="Sum of ROI" fld="2" baseField="0" baseItem="0"/>
    <dataField name="Sum of League Points" fld="3" baseField="0" baseItem="0"/>
  </dataFields>
  <formats count="10"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0" type="button" dataOnly="0" labelOnly="1" outline="0" axis="axisRow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 Playe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60" applyNumberFormats="0" applyBorderFormats="0" applyFontFormats="0" applyPatternFormats="0" applyAlignmentFormats="0" applyWidthHeightFormats="1" dataCaption="Values" tag="5b138cea-b3c4-4029-929f-3bd329d74e44" updatedVersion="8" minRefreshableVersion="3" subtotalHiddenItems="1" itemPrintTitles="1" createdVersion="8" indent="0" outline="1" outlineData="1" multipleFieldFilters="0" rowHeaderCaption="Player">
  <location ref="N18:O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1"/>
    </i>
    <i>
      <x v="4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4"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grandRow="1" outline="0" fieldPosition="0"/>
    </format>
    <format dxfId="79">
      <pivotArea dataOnly="0" labelOnly="1" outline="0" axis="axisValues" fieldPosition="0"/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Player_No_Host"/>
    <pivotHierarchy dragToData="1"/>
    <pivotHierarchy dragToData="1" caption="Count of Player_No_Host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  <x15:activeTabTopLevelEntity name="[qry_Game_Number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54" applyNumberFormats="0" applyBorderFormats="0" applyFontFormats="0" applyPatternFormats="0" applyAlignmentFormats="0" applyWidthHeightFormats="1" dataCaption="Values" tag="291156ff-b454-49f9-be10-3bbc0b5eb673" updatedVersion="8" minRefreshableVersion="3" subtotalHiddenItems="1" itemPrintTitles="1" createdVersion="8" indent="0" outline="1" outlineData="1" multipleFieldFilters="0" chartFormat="8" rowHeaderCaption="Player">
  <location ref="N2:O14" firstHeaderRow="1" firstDataRow="1" firstDataCol="1"/>
  <pivotFields count="2">
    <pivotField axis="axisRow" allDrilled="1" subtotalTop="0" showAll="0" sortType="descending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2">
    <i>
      <x v="4"/>
    </i>
    <i>
      <x v="7"/>
    </i>
    <i>
      <x v="6"/>
    </i>
    <i>
      <x v="2"/>
    </i>
    <i>
      <x/>
    </i>
    <i>
      <x v="10"/>
    </i>
    <i>
      <x v="1"/>
    </i>
    <i>
      <x v="5"/>
    </i>
    <i>
      <x v="9"/>
    </i>
    <i>
      <x v="3"/>
    </i>
    <i>
      <x v="8"/>
    </i>
    <i t="grand">
      <x/>
    </i>
  </rowItems>
  <colItems count="1">
    <i/>
  </colItems>
  <dataFields count="1">
    <dataField name="Sum of League_Points" fld="1" baseField="0" baseItem="0"/>
  </dataFields>
  <formats count="5">
    <format dxfId="87">
      <pivotArea outline="0" collapsedLevelsAreSubtotals="1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grandRow="1" outline="0" fieldPosition="0"/>
    </format>
    <format dxfId="83">
      <pivotArea dataOnly="0" labelOnly="1" outline="0" axis="axisValues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yers_Top_10_for_2026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7:B28" firstHeaderRow="1" firstDataRow="1" firstDataCol="1"/>
  <pivotFields count="5">
    <pivotField showAll="0"/>
    <pivotField axis="axisRow" showAll="0" sortType="descending">
      <items count="12">
        <item x="8"/>
        <item x="5"/>
        <item x="1"/>
        <item x="2"/>
        <item x="9"/>
        <item x="6"/>
        <item x="4"/>
        <item x="10"/>
        <item x="7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2"/>
    </i>
    <i>
      <x v="3"/>
    </i>
    <i>
      <x v="9"/>
    </i>
    <i>
      <x v="6"/>
    </i>
    <i>
      <x v="1"/>
    </i>
    <i>
      <x v="5"/>
    </i>
    <i>
      <x v="8"/>
    </i>
    <i>
      <x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1" type="button" dataOnly="0" labelOnly="1" outline="0" axis="axisRow" fieldPosition="0"/>
    </format>
    <format dxfId="65">
      <pivotArea dataOnly="0" labelOnly="1" fieldPosition="0">
        <references count="1">
          <reference field="1" count="0"/>
        </references>
      </pivotArea>
    </format>
    <format dxfId="64">
      <pivotArea dataOnly="0" labelOnly="1" grandRow="1" outline="0" fieldPosition="0"/>
    </format>
    <format dxfId="63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13" applyNumberFormats="0" applyBorderFormats="0" applyFontFormats="0" applyPatternFormats="0" applyAlignmentFormats="0" applyWidthHeightFormats="1" dataCaption="Values" tag="3f2ecf0b-50b2-492a-8212-12e2f4bad915" updatedVersion="8" minRefreshableVersion="3" useAutoFormatting="1" itemPrintTitles="1" createdVersion="8" indent="0" outline="1" outlineData="1" multipleFieldFilters="0">
  <location ref="K2:W13" firstHeaderRow="1" firstDataRow="2" firstDataCol="1"/>
  <pivotFields count="3">
    <pivotField axis="axisCol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League Points" fld="2" baseField="0" baseItem="0"/>
  </dataFields>
  <formats count="1">
    <format dxfId="60">
      <pivotArea field="1" grandCol="1" collapsedLevelsAreSubtotals="1" axis="axisRow" fieldPosition="0">
        <references count="1">
          <reference field="1" count="0"/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7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3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2">
        <item x="2"/>
        <item x="8"/>
        <item x="1"/>
        <item x="10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2">
    <i>
      <x v="4"/>
    </i>
    <i>
      <x v="2"/>
    </i>
    <i>
      <x v="6"/>
    </i>
    <i>
      <x v="3"/>
    </i>
    <i>
      <x v="10"/>
    </i>
    <i>
      <x v="1"/>
    </i>
    <i>
      <x v="9"/>
    </i>
    <i>
      <x v="7"/>
    </i>
    <i>
      <x v="5"/>
    </i>
    <i>
      <x/>
    </i>
    <i>
      <x v="8"/>
    </i>
    <i t="grand">
      <x/>
    </i>
  </rowItems>
  <colItems count="1">
    <i/>
  </colItems>
  <dataFields count="1">
    <dataField name="Sum of ROI 2025 - 2026" fld="5" baseField="0" baseItem="0" numFmtId="164"/>
  </dataFields>
  <formats count="4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grandRow="1" outline="0" fieldPosition="0"/>
    </format>
    <format dxfId="5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 v="7"/>
    </i>
    <i>
      <x/>
    </i>
    <i>
      <x v="4"/>
    </i>
    <i>
      <x v="3"/>
    </i>
    <i>
      <x v="1"/>
    </i>
    <i>
      <x v="11"/>
    </i>
    <i>
      <x v="9"/>
    </i>
    <i>
      <x v="5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" type="button" dataOnly="0" labelOnly="1" outline="0" axis="axisRow" fieldPosition="0"/>
    </format>
    <format dxfId="110">
      <pivotArea dataOnly="0" labelOnly="1" fieldPosition="0">
        <references count="1">
          <reference field="1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655E5ED5-76A2-465D-BCBC-E52FD5BF6E5D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6" name="qry_Players.Player_Name" tableColumnId="6"/>
      <queryTableField id="3" name="BuyIn" tableColumnId="3"/>
      <queryTableField id="4" name="Rebuy" tableColumnId="4"/>
      <queryTableField id="5" name="CashOut" tableColumnId="5"/>
      <queryTableField id="7" name="League Points" tableColumnId="7"/>
      <queryTableField id="8" name="ROI" tableColumnId="8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  <queryTableField id="6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18FBB53F-CDB8-4116-B4D2-FD73B17C984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9D515938-18D5-4318-A287-6F3CB24C1E1B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dataBound="0" tableColumnId="6"/>
      <queryTableField id="7" dataBound="0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38A16911-C9C1-4A5C-BAE7-3493DF6E8C49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90"/>
    <tableColumn id="4" xr3:uid="{26E7DB68-E557-4F94-9F01-9B8FAF9E2C7A}" name="Rebuy" dataDxfId="89"/>
    <tableColumn id="5" xr3:uid="{CCEBB7B8-9EAF-4D13-BD62-7D8780EC8B72}" name="CashOut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77F340-9368-42DB-A85B-9AE18C05186E}" name="qry_Player_Game_Stats_2026" displayName="qry_Player_Game_Stats_2026" ref="A1:H66" tableType="queryTable" totalsRowShown="0">
  <autoFilter ref="A1:H66" xr:uid="{E677F340-9368-42DB-A85B-9AE18C05186E}"/>
  <tableColumns count="8">
    <tableColumn id="1" xr3:uid="{DE0E3E21-5533-4004-8D22-3D0F3DAF183F}" uniqueName="1" name="Game_ID" queryTableFieldId="1"/>
    <tableColumn id="2" xr3:uid="{943630D2-6884-4E05-ACED-0F8638236754}" uniqueName="2" name="Player_No" queryTableFieldId="2"/>
    <tableColumn id="6" xr3:uid="{4F585F2B-9DEF-48D8-ABEF-8BAAFF4FB7B8}" uniqueName="6" name="qry_Players.Player_Name" queryTableFieldId="6" dataDxfId="36"/>
    <tableColumn id="3" xr3:uid="{DA9C9862-886B-4D25-8FEB-814D435CBD58}" uniqueName="3" name="BuyIn" queryTableFieldId="3" dataDxfId="35"/>
    <tableColumn id="4" xr3:uid="{1861AE73-5BF3-41D9-8F5B-B631F58C8C15}" uniqueName="4" name="Rebuy" queryTableFieldId="4" dataDxfId="34"/>
    <tableColumn id="5" xr3:uid="{2A35B1D3-4870-4E23-8EDB-538E4945913E}" uniqueName="5" name="CashOut" queryTableFieldId="5" dataDxfId="33"/>
    <tableColumn id="7" xr3:uid="{900D2968-A53C-4EB8-BA26-71470910EBB5}" uniqueName="7" name="League Points" queryTableFieldId="7"/>
    <tableColumn id="8" xr3:uid="{031E3B67-BF65-490C-AA57-A5C684ECC1D7}" uniqueName="8" name="ROI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3" tableType="queryTable" totalsRowCount="1">
  <autoFilter ref="A1:E12" xr:uid="{C90084A4-8C2D-4900-B89E-B8DE678811EF}"/>
  <sortState xmlns:xlrd2="http://schemas.microsoft.com/office/spreadsheetml/2017/richdata2" ref="A2:E12">
    <sortCondition descending="1" ref="E1:E12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62"/>
    <tableColumn id="3" xr3:uid="{BCCB1BF0-5D2E-4392-9048-E7C6373F9DC5}" uniqueName="3" name="Total_Cash_Out" queryTableFieldId="3" dataDxfId="30" totalsRowDxfId="31"/>
    <tableColumn id="4" xr3:uid="{C85ED00E-34A5-407B-90DC-8F7C68C8FB30}" uniqueName="4" name="Games_Played" queryTableFieldId="4"/>
    <tableColumn id="5" xr3:uid="{DFDFAAC4-4CB9-49A0-84E3-87A4830B02DB}" uniqueName="5" name="Average Cash Per Game 2025 - 2026" queryTableFieldId="5" dataDxfId="29" totalsRowDxfId="3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F12" tableType="queryTable" totalsRowShown="0">
  <autoFilter ref="A1:F12" xr:uid="{F39F1E7C-0A1F-42AB-B9F2-915DFAD694D1}"/>
  <sortState xmlns:xlrd2="http://schemas.microsoft.com/office/spreadsheetml/2017/richdata2" ref="A2:F12">
    <sortCondition descending="1" ref="E1:E12"/>
  </sortState>
  <tableColumns count="6">
    <tableColumn id="1" xr3:uid="{A11A6267-559A-481B-B2B2-B41702BA5ECD}" uniqueName="1" name="Player_No" queryTableFieldId="1"/>
    <tableColumn id="2" xr3:uid="{B9966259-EC4C-4EA9-8674-F6DB8C7593F3}" uniqueName="2" name="Player_Name" queryTableFieldId="2" dataDxfId="61"/>
    <tableColumn id="3" xr3:uid="{56E78875-AD39-46FB-8A01-FA8BE36D52D9}" uniqueName="3" name="Total_Cashout" queryTableFieldId="3" dataDxfId="23"/>
    <tableColumn id="4" xr3:uid="{830AEBD0-45F1-4FAE-B139-AB2930DEE501}" uniqueName="4" name="Appearances" queryTableFieldId="4"/>
    <tableColumn id="5" xr3:uid="{4A3758C8-2C31-40AD-B1AC-6A2233A44586}" uniqueName="5" name="League_Points" queryTableFieldId="5"/>
    <tableColumn id="6" xr3:uid="{1C7AC695-103B-4395-BEE2-9695E8B0E99F}" uniqueName="6" name="Avg Per Night" queryTableFieldId="6" dataDxfId="22">
      <calculatedColumnFormula>Players_Top_10_for_2026_1[[#This Row],[League_Points]]/Players_Top_10_for_2026_1[[#This Row],[Appearances]]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67" tableType="queryTable" totalsRowCount="1">
  <autoFilter ref="A1:F66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27"/>
    <tableColumn id="3" xr3:uid="{F820E8CA-6A4C-48EE-B23B-488ED55C2688}" uniqueName="3" name="Date" queryTableFieldId="3" dataDxfId="26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25" totalsRowDxfId="28"/>
    <tableColumn id="6" xr3:uid="{823C75C5-A05B-4543-8808-551AD2189B88}" uniqueName="6" name="League Points" totalsRowFunction="sum" queryTableFieldId="6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3283C6-CC1A-4D28-9873-778BA9276B0C}" name="qry_Players" displayName="qry_Players" ref="A1:B14" tableType="queryTable" totalsRowShown="0">
  <autoFilter ref="A1:B14" xr:uid="{563283C6-CC1A-4D28-9873-778BA9276B0C}"/>
  <tableColumns count="2">
    <tableColumn id="1" xr3:uid="{13CD91B8-E532-4090-9383-F2097BD2BA95}" uniqueName="1" name="Player_No" queryTableFieldId="1"/>
    <tableColumn id="2" xr3:uid="{285CD073-B9B2-4EFE-A11B-C2A7E1A1A24A}" uniqueName="2" name="Player_Name" queryTableFieldId="2" dataDxfId="5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11A66E-6350-4E45-83A5-90234099DCE3}" name="qry_Player_Game_Stats" displayName="qry_Player_Game_Stats" ref="A1:G115" tableType="queryTable" totalsRowShown="0">
  <autoFilter ref="A1:G115" xr:uid="{6E11A66E-6350-4E45-83A5-90234099DCE3}"/>
  <tableColumns count="7">
    <tableColumn id="1" xr3:uid="{FC0D86B0-ED9F-452D-9F45-B4AF65937B7F}" uniqueName="1" name="Game_ID" queryTableFieldId="1"/>
    <tableColumn id="2" xr3:uid="{40F5E506-09FD-4114-ACDD-F23CFC1ED629}" uniqueName="2" name="Player_No" queryTableFieldId="2"/>
    <tableColumn id="3" xr3:uid="{CF893D33-3CB4-4E80-9A11-C9990F7DCDD6}" uniqueName="3" name="BuyIn" queryTableFieldId="3" dataDxfId="21"/>
    <tableColumn id="4" xr3:uid="{01A1F942-977D-486F-B5B7-4CE82489A158}" uniqueName="4" name="Rebuy" queryTableFieldId="4" dataDxfId="20"/>
    <tableColumn id="5" xr3:uid="{BB844558-2757-4E3D-A5D2-EA91CAD57217}" uniqueName="5" name="CashOut" queryTableFieldId="5" dataDxfId="19"/>
    <tableColumn id="6" xr3:uid="{25AFEA2C-0B0E-4882-920C-4FBB54EF8159}" uniqueName="6" name="ROI" queryTableFieldId="6" dataDxfId="18">
      <calculatedColumnFormula>qry_Player_Game_Stats[[#This Row],[CashOut]]-(qry_Player_Game_Stats[[#This Row],[BuyIn]]+qry_Player_Game_Stats[[#This Row],[Rebuy]])</calculatedColumnFormula>
    </tableColumn>
    <tableColumn id="7" xr3:uid="{D6232B4E-1415-46AD-9B89-BD2E86ED3D5D}" uniqueName="7" name="Player Name" queryTableFieldId="7" dataDxfId="17">
      <calculatedColumnFormula>_xlfn.XLOOKUP(qry_Player_Game_Stats[[#This Row],[Player_No]],qry_Players[Player_No],qry_Players[Player_Name])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3C2618-0FCF-49B4-B412-16CAB4B9A827}" name="qry_Game_Number" displayName="qry_Game_Number" ref="A1:D17" tableType="queryTable" totalsRowShown="0">
  <autoFilter ref="A1:D17" xr:uid="{733C2618-0FCF-49B4-B412-16CAB4B9A827}"/>
  <tableColumns count="4">
    <tableColumn id="1" xr3:uid="{322E621F-F2BE-4647-8898-DE3FAB46841E}" uniqueName="1" name="Game_ID" queryTableFieldId="1"/>
    <tableColumn id="2" xr3:uid="{D88A1256-5093-41E6-9F04-A103EF8EB1CA}" uniqueName="2" name="Game_Date" queryTableFieldId="2" dataDxfId="16"/>
    <tableColumn id="3" xr3:uid="{8BCC3932-E2F2-4C28-B911-2986C5EC153A}" uniqueName="3" name="Player_No_Host" queryTableFieldId="3"/>
    <tableColumn id="4" xr3:uid="{B7494919-6385-4898-A9EF-7CB8461FECDE}" uniqueName="4" name="qry_Players.Player_Name" queryTableFieldId="4" dataDxfId="5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0">
      <filters>
        <filter val="1"/>
        <filter val="11"/>
        <filter val="12"/>
        <filter val="2"/>
        <filter val="3"/>
        <filter val="5"/>
        <filter val="6"/>
        <filter val="7"/>
        <filter val="8"/>
      </filters>
    </filterColumn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107" totalsRowDxfId="53"/>
    <tableColumn id="2" xr3:uid="{777EF35F-DF6E-4218-8A2E-886E76E5CCBF}" name="FullName" dataDxfId="106" totalsRowDxfId="52"/>
    <tableColumn id="3" xr3:uid="{C2740B49-3160-4717-B226-181C1BFF78F4}" name="23/01/2026" totalsRowFunction="sum" dataDxfId="105" totalsRowDxfId="51"/>
    <tableColumn id="4" xr3:uid="{ECC27581-19AC-4220-8CBF-ED38FD7613F3}" name="13/02/2026" totalsRowFunction="sum" dataDxfId="104" totalsRowDxfId="50"/>
    <tableColumn id="5" xr3:uid="{1308133D-F013-4CB9-A6ED-ACABF1D9D44B}" name="06/03/2026" totalsRowFunction="sum" dataDxfId="103" totalsRowDxfId="49"/>
    <tableColumn id="6" xr3:uid="{2A5C365C-7BD2-4724-A447-E6C35C83FCF9}" name="03/04/2026" totalsRowFunction="sum" dataDxfId="102" totalsRowDxfId="48"/>
    <tableColumn id="7" xr3:uid="{94C5C22F-4CEA-46F4-BADE-BDCEDCBC7A0E}" name="23/04/2026" totalsRowFunction="sum" dataDxfId="101" totalsRowDxfId="47"/>
    <tableColumn id="8" xr3:uid="{0563C163-E688-414A-B028-97E5FAA83B1A}" name="22/05/2026" totalsRowFunction="sum" dataDxfId="100" totalsRowDxfId="46"/>
    <tableColumn id="9" xr3:uid="{AF465F9B-4B17-4946-B60B-48283A067B48}" name="12/06/2026" totalsRowFunction="sum" dataDxfId="99" totalsRowDxfId="45"/>
    <tableColumn id="10" xr3:uid="{07DFEE1A-6A59-40BB-98D8-F4B2C60538C0}" name="17/07/2026" totalsRowFunction="sum" dataDxfId="98" totalsRowDxfId="44"/>
    <tableColumn id="11" xr3:uid="{52995472-9E50-4339-B494-30FA1A3E031B}" name="Week9" totalsRowFunction="sum" dataDxfId="97" totalsRowDxfId="43"/>
    <tableColumn id="12" xr3:uid="{F6A60054-EC8B-4468-AE1F-13A57D8D744D}" name="Week10" totalsRowFunction="sum" dataDxfId="96" totalsRowDxfId="42"/>
    <tableColumn id="13" xr3:uid="{E56DC21D-A0AD-4E9E-A781-AA21C2EE660F}" name="Week11" totalsRowFunction="sum" dataDxfId="95" totalsRowDxfId="41"/>
    <tableColumn id="14" xr3:uid="{DAFF31BB-9E10-42AB-B2EB-E830295F96B8}" name="Week12" totalsRowFunction="sum" dataDxfId="94" totalsRowDxfId="40"/>
    <tableColumn id="15" xr3:uid="{62860BC6-8010-4BBD-8AA0-1980A660D7C5}" name="Week13" totalsRowFunction="sum" dataDxfId="93" totalsRowDxfId="39"/>
    <tableColumn id="16" xr3:uid="{B099F725-2C0B-4BC3-A1F0-AF4779A32745}" name="Week14" totalsRowFunction="sum" dataDxfId="92" totalsRowDxfId="38"/>
    <tableColumn id="17" xr3:uid="{E32710AA-A898-4781-8951-0A1B27E2A2A0}" name="Total" totalsRowFunction="sum" dataDxfId="91" totalsRowDxfId="37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4.5" x14ac:dyDescent="0.35"/>
  <cols>
    <col min="1" max="1" width="16.81640625" bestFit="1" customWidth="1"/>
    <col min="2" max="2" width="11.453125" bestFit="1" customWidth="1"/>
    <col min="3" max="3" width="8.26953125" bestFit="1" customWidth="1"/>
    <col min="4" max="4" width="9" bestFit="1" customWidth="1"/>
    <col min="5" max="5" width="11.1796875" bestFit="1" customWidth="1"/>
    <col min="6" max="6" width="43.54296875" bestFit="1" customWidth="1"/>
    <col min="7" max="7" width="19.1796875" bestFit="1" customWidth="1"/>
  </cols>
  <sheetData>
    <row r="1" spans="1:5" x14ac:dyDescent="0.3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3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3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3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3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3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3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3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3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3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3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3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3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3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3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3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3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3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3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3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3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3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3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3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3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3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3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3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3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3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3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3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3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3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3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3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3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3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3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3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3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3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3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3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3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3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S67"/>
  <sheetViews>
    <sheetView workbookViewId="0">
      <pane ySplit="1" topLeftCell="A23" activePane="bottomLeft" state="frozen"/>
      <selection pane="bottomLeft" activeCell="L57" sqref="L57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24.36328125" bestFit="1" customWidth="1"/>
    <col min="4" max="4" width="7.81640625" bestFit="1" customWidth="1"/>
    <col min="5" max="5" width="8.36328125" bestFit="1" customWidth="1"/>
    <col min="6" max="6" width="10.36328125" customWidth="1"/>
    <col min="7" max="7" width="14.6328125" bestFit="1" customWidth="1"/>
    <col min="8" max="8" width="6.08984375" bestFit="1" customWidth="1"/>
    <col min="9" max="9" width="10.36328125" bestFit="1" customWidth="1"/>
    <col min="10" max="10" width="14.6328125" bestFit="1" customWidth="1"/>
    <col min="11" max="11" width="7.36328125" bestFit="1" customWidth="1"/>
    <col min="14" max="14" width="16.36328125" bestFit="1" customWidth="1"/>
    <col min="15" max="15" width="20.26953125" bestFit="1" customWidth="1"/>
    <col min="16" max="16" width="10" bestFit="1" customWidth="1"/>
    <col min="17" max="17" width="18.7265625" bestFit="1" customWidth="1"/>
    <col min="18" max="18" width="24.81640625" bestFit="1" customWidth="1"/>
    <col min="19" max="19" width="22.26953125" bestFit="1" customWidth="1"/>
  </cols>
  <sheetData>
    <row r="1" spans="1:15" x14ac:dyDescent="0.35">
      <c r="A1" t="s">
        <v>21</v>
      </c>
      <c r="B1" t="s">
        <v>22</v>
      </c>
      <c r="C1" t="s">
        <v>37</v>
      </c>
      <c r="D1" t="s">
        <v>15</v>
      </c>
      <c r="E1" t="s">
        <v>16</v>
      </c>
      <c r="F1" t="s">
        <v>17</v>
      </c>
      <c r="G1" t="s">
        <v>38</v>
      </c>
      <c r="H1" t="s">
        <v>33</v>
      </c>
      <c r="N1" s="34" t="s">
        <v>38</v>
      </c>
      <c r="O1" s="34"/>
    </row>
    <row r="2" spans="1:15" x14ac:dyDescent="0.35">
      <c r="A2">
        <v>8</v>
      </c>
      <c r="B2">
        <v>1</v>
      </c>
      <c r="C2" s="35" t="s">
        <v>2</v>
      </c>
      <c r="D2" s="1">
        <v>30</v>
      </c>
      <c r="E2" s="1">
        <v>20</v>
      </c>
      <c r="F2" s="1">
        <v>0</v>
      </c>
      <c r="G2">
        <v>0</v>
      </c>
      <c r="H2">
        <v>-50</v>
      </c>
      <c r="I2" s="1"/>
      <c r="K2" s="1"/>
      <c r="N2" s="3" t="s">
        <v>32</v>
      </c>
      <c r="O2" s="4" t="s">
        <v>81</v>
      </c>
    </row>
    <row r="3" spans="1:15" x14ac:dyDescent="0.35">
      <c r="A3">
        <v>9</v>
      </c>
      <c r="B3">
        <v>1</v>
      </c>
      <c r="C3" s="35" t="s">
        <v>2</v>
      </c>
      <c r="D3" s="1">
        <v>30</v>
      </c>
      <c r="E3" s="1">
        <v>20</v>
      </c>
      <c r="F3" s="1">
        <v>45</v>
      </c>
      <c r="G3">
        <v>2250</v>
      </c>
      <c r="H3">
        <v>-5</v>
      </c>
      <c r="I3" s="1"/>
      <c r="K3" s="1"/>
      <c r="N3" s="5" t="s">
        <v>7</v>
      </c>
      <c r="O3" s="7">
        <v>32000</v>
      </c>
    </row>
    <row r="4" spans="1:15" x14ac:dyDescent="0.35">
      <c r="A4">
        <v>8</v>
      </c>
      <c r="B4">
        <v>2</v>
      </c>
      <c r="C4" s="35" t="s">
        <v>3</v>
      </c>
      <c r="D4" s="1">
        <v>30</v>
      </c>
      <c r="E4" s="1">
        <v>20</v>
      </c>
      <c r="F4" s="1">
        <v>45</v>
      </c>
      <c r="G4">
        <v>2250</v>
      </c>
      <c r="H4">
        <v>-5</v>
      </c>
      <c r="I4" s="1"/>
      <c r="K4" s="1"/>
      <c r="N4" s="5" t="s">
        <v>6</v>
      </c>
      <c r="O4" s="7">
        <v>22000</v>
      </c>
    </row>
    <row r="5" spans="1:15" x14ac:dyDescent="0.35">
      <c r="A5">
        <v>9</v>
      </c>
      <c r="B5">
        <v>2</v>
      </c>
      <c r="C5" s="35" t="s">
        <v>3</v>
      </c>
      <c r="D5" s="1">
        <v>30</v>
      </c>
      <c r="E5" s="1">
        <v>20</v>
      </c>
      <c r="F5" s="1">
        <v>65</v>
      </c>
      <c r="G5">
        <v>3250</v>
      </c>
      <c r="H5">
        <v>15</v>
      </c>
      <c r="I5" s="1"/>
      <c r="K5" s="1"/>
      <c r="N5" s="5" t="s">
        <v>2</v>
      </c>
      <c r="O5" s="7">
        <v>21750</v>
      </c>
    </row>
    <row r="6" spans="1:15" x14ac:dyDescent="0.35">
      <c r="A6">
        <v>8</v>
      </c>
      <c r="B6">
        <v>3</v>
      </c>
      <c r="C6" s="35" t="s">
        <v>4</v>
      </c>
      <c r="D6" s="1">
        <v>30</v>
      </c>
      <c r="E6" s="1">
        <v>20</v>
      </c>
      <c r="F6" s="1">
        <v>25</v>
      </c>
      <c r="G6">
        <v>1250</v>
      </c>
      <c r="H6">
        <v>-25</v>
      </c>
      <c r="I6" s="1"/>
      <c r="K6" s="1"/>
      <c r="N6" s="5" t="s">
        <v>3</v>
      </c>
      <c r="O6" s="7">
        <v>21750</v>
      </c>
    </row>
    <row r="7" spans="1:15" x14ac:dyDescent="0.35">
      <c r="A7">
        <v>9</v>
      </c>
      <c r="B7">
        <v>3</v>
      </c>
      <c r="C7" s="35" t="s">
        <v>4</v>
      </c>
      <c r="D7" s="1">
        <v>30</v>
      </c>
      <c r="E7" s="1">
        <v>20</v>
      </c>
      <c r="F7" s="1">
        <v>25</v>
      </c>
      <c r="G7">
        <v>1250</v>
      </c>
      <c r="H7">
        <v>-25</v>
      </c>
      <c r="I7" s="1"/>
      <c r="K7" s="1"/>
      <c r="N7" s="5" t="s">
        <v>4</v>
      </c>
      <c r="O7" s="7">
        <v>18250</v>
      </c>
    </row>
    <row r="8" spans="1:15" x14ac:dyDescent="0.35">
      <c r="A8">
        <v>8</v>
      </c>
      <c r="B8">
        <v>5</v>
      </c>
      <c r="C8" s="35" t="s">
        <v>6</v>
      </c>
      <c r="D8" s="1">
        <v>30</v>
      </c>
      <c r="E8" s="1">
        <v>20</v>
      </c>
      <c r="F8" s="1">
        <v>115</v>
      </c>
      <c r="G8">
        <v>5750</v>
      </c>
      <c r="H8">
        <v>65</v>
      </c>
      <c r="I8" s="1"/>
      <c r="K8" s="1"/>
      <c r="N8" s="5" t="s">
        <v>9</v>
      </c>
      <c r="O8" s="7">
        <v>13750</v>
      </c>
    </row>
    <row r="9" spans="1:15" x14ac:dyDescent="0.35">
      <c r="A9">
        <v>9</v>
      </c>
      <c r="B9">
        <v>5</v>
      </c>
      <c r="C9" s="35" t="s">
        <v>6</v>
      </c>
      <c r="D9" s="1">
        <v>30</v>
      </c>
      <c r="E9" s="1">
        <v>20</v>
      </c>
      <c r="F9" s="1">
        <v>50</v>
      </c>
      <c r="G9">
        <v>2500</v>
      </c>
      <c r="H9">
        <v>0</v>
      </c>
      <c r="I9" s="1"/>
      <c r="K9" s="1"/>
      <c r="N9" s="5" t="s">
        <v>8</v>
      </c>
      <c r="O9" s="7">
        <v>12000</v>
      </c>
    </row>
    <row r="10" spans="1:15" x14ac:dyDescent="0.35">
      <c r="A10">
        <v>8</v>
      </c>
      <c r="B10">
        <v>6</v>
      </c>
      <c r="C10" s="35" t="s">
        <v>7</v>
      </c>
      <c r="D10" s="1">
        <v>30</v>
      </c>
      <c r="E10" s="1">
        <v>20</v>
      </c>
      <c r="F10" s="1">
        <v>140</v>
      </c>
      <c r="G10">
        <v>7000</v>
      </c>
      <c r="H10">
        <v>90</v>
      </c>
      <c r="I10" s="1"/>
      <c r="K10" s="1"/>
      <c r="N10" s="5" t="s">
        <v>12</v>
      </c>
      <c r="O10" s="7">
        <v>10000</v>
      </c>
    </row>
    <row r="11" spans="1:15" x14ac:dyDescent="0.35">
      <c r="A11">
        <v>9</v>
      </c>
      <c r="B11">
        <v>6</v>
      </c>
      <c r="C11" s="35" t="s">
        <v>7</v>
      </c>
      <c r="D11" s="1">
        <v>30</v>
      </c>
      <c r="E11" s="1">
        <v>20</v>
      </c>
      <c r="F11" s="1">
        <v>0</v>
      </c>
      <c r="G11">
        <v>0</v>
      </c>
      <c r="H11">
        <v>-50</v>
      </c>
      <c r="I11" s="1"/>
      <c r="K11" s="1"/>
      <c r="N11" s="5" t="s">
        <v>5</v>
      </c>
      <c r="O11" s="7">
        <v>5500</v>
      </c>
    </row>
    <row r="12" spans="1:15" x14ac:dyDescent="0.35">
      <c r="A12">
        <v>8</v>
      </c>
      <c r="B12">
        <v>7</v>
      </c>
      <c r="C12" s="35" t="s">
        <v>8</v>
      </c>
      <c r="D12" s="1">
        <v>30</v>
      </c>
      <c r="E12" s="1">
        <v>20</v>
      </c>
      <c r="F12" s="1">
        <v>50</v>
      </c>
      <c r="G12">
        <v>2500</v>
      </c>
      <c r="H12">
        <v>0</v>
      </c>
      <c r="I12" s="1"/>
      <c r="K12" s="1"/>
      <c r="N12" s="5" t="s">
        <v>78</v>
      </c>
      <c r="O12" s="7">
        <v>4000</v>
      </c>
    </row>
    <row r="13" spans="1:15" x14ac:dyDescent="0.35">
      <c r="A13">
        <v>8</v>
      </c>
      <c r="B13">
        <v>11</v>
      </c>
      <c r="C13" s="35" t="s">
        <v>12</v>
      </c>
      <c r="D13" s="1">
        <v>30</v>
      </c>
      <c r="E13" s="1">
        <v>20</v>
      </c>
      <c r="F13" s="1">
        <v>0</v>
      </c>
      <c r="G13">
        <v>0</v>
      </c>
      <c r="H13">
        <v>-50</v>
      </c>
      <c r="I13" s="1"/>
      <c r="K13" s="1"/>
      <c r="N13" s="5" t="s">
        <v>19</v>
      </c>
      <c r="O13" s="7">
        <v>1750</v>
      </c>
    </row>
    <row r="14" spans="1:15" x14ac:dyDescent="0.35">
      <c r="A14">
        <v>8</v>
      </c>
      <c r="B14">
        <v>12</v>
      </c>
      <c r="C14" s="35" t="s">
        <v>19</v>
      </c>
      <c r="D14" s="1">
        <v>30</v>
      </c>
      <c r="E14" s="1">
        <v>20</v>
      </c>
      <c r="F14" s="1">
        <v>25</v>
      </c>
      <c r="G14">
        <v>1250</v>
      </c>
      <c r="H14">
        <v>-25</v>
      </c>
      <c r="I14" s="1"/>
      <c r="K14" s="1"/>
      <c r="N14" s="5" t="s">
        <v>18</v>
      </c>
      <c r="O14" s="7">
        <v>162750</v>
      </c>
    </row>
    <row r="15" spans="1:15" x14ac:dyDescent="0.35">
      <c r="A15">
        <v>9</v>
      </c>
      <c r="B15">
        <v>8</v>
      </c>
      <c r="C15" s="35" t="s">
        <v>9</v>
      </c>
      <c r="D15" s="1">
        <v>30</v>
      </c>
      <c r="E15" s="1">
        <v>20</v>
      </c>
      <c r="F15" s="1">
        <v>105</v>
      </c>
      <c r="G15">
        <v>5250</v>
      </c>
      <c r="H15">
        <v>55</v>
      </c>
      <c r="I15" s="1"/>
      <c r="K15" s="1"/>
    </row>
    <row r="16" spans="1:15" x14ac:dyDescent="0.35">
      <c r="A16">
        <v>9</v>
      </c>
      <c r="B16">
        <v>11</v>
      </c>
      <c r="C16" s="35" t="s">
        <v>12</v>
      </c>
      <c r="D16" s="1">
        <v>30</v>
      </c>
      <c r="E16" s="1">
        <v>20</v>
      </c>
      <c r="F16" s="1">
        <v>60</v>
      </c>
      <c r="G16">
        <v>3000</v>
      </c>
      <c r="H16">
        <v>10</v>
      </c>
      <c r="I16" s="1"/>
      <c r="K16" s="1"/>
    </row>
    <row r="17" spans="1:19" x14ac:dyDescent="0.35">
      <c r="A17">
        <v>10</v>
      </c>
      <c r="B17">
        <v>1</v>
      </c>
      <c r="C17" s="35" t="s">
        <v>2</v>
      </c>
      <c r="D17" s="1">
        <v>30</v>
      </c>
      <c r="E17" s="1">
        <v>20</v>
      </c>
      <c r="F17" s="1">
        <v>10</v>
      </c>
      <c r="G17">
        <v>500</v>
      </c>
      <c r="H17">
        <v>-40</v>
      </c>
      <c r="I17" s="1"/>
      <c r="K17" s="1"/>
      <c r="N17" s="34" t="s">
        <v>42</v>
      </c>
      <c r="O17" s="34"/>
    </row>
    <row r="18" spans="1:19" x14ac:dyDescent="0.35">
      <c r="A18">
        <v>10</v>
      </c>
      <c r="B18">
        <v>2</v>
      </c>
      <c r="C18" s="35" t="s">
        <v>3</v>
      </c>
      <c r="D18" s="1">
        <v>30</v>
      </c>
      <c r="E18" s="1">
        <v>20</v>
      </c>
      <c r="F18" s="1">
        <v>25</v>
      </c>
      <c r="G18">
        <v>1250</v>
      </c>
      <c r="H18">
        <v>-25</v>
      </c>
      <c r="I18" s="1"/>
      <c r="K18" s="1"/>
      <c r="N18" s="3" t="s">
        <v>32</v>
      </c>
      <c r="O18" s="4" t="s">
        <v>41</v>
      </c>
    </row>
    <row r="19" spans="1:19" x14ac:dyDescent="0.35">
      <c r="A19">
        <v>10</v>
      </c>
      <c r="B19">
        <v>3</v>
      </c>
      <c r="C19" s="35" t="s">
        <v>4</v>
      </c>
      <c r="D19" s="1">
        <v>30</v>
      </c>
      <c r="E19" s="1">
        <v>20</v>
      </c>
      <c r="F19" s="1">
        <v>80</v>
      </c>
      <c r="G19">
        <v>4000</v>
      </c>
      <c r="H19">
        <v>30</v>
      </c>
      <c r="I19" s="1"/>
      <c r="K19" s="1"/>
      <c r="N19" s="5" t="s">
        <v>2</v>
      </c>
      <c r="O19" s="37">
        <v>4</v>
      </c>
    </row>
    <row r="20" spans="1:19" x14ac:dyDescent="0.35">
      <c r="A20">
        <v>10</v>
      </c>
      <c r="B20">
        <v>5</v>
      </c>
      <c r="C20" s="35" t="s">
        <v>6</v>
      </c>
      <c r="D20" s="1">
        <v>30</v>
      </c>
      <c r="E20" s="1">
        <v>20</v>
      </c>
      <c r="F20" s="1">
        <v>35</v>
      </c>
      <c r="G20">
        <v>1750</v>
      </c>
      <c r="H20">
        <v>-15</v>
      </c>
      <c r="I20" s="1"/>
      <c r="K20" s="1"/>
      <c r="N20" s="5" t="s">
        <v>3</v>
      </c>
      <c r="O20" s="37">
        <v>4</v>
      </c>
    </row>
    <row r="21" spans="1:19" x14ac:dyDescent="0.35">
      <c r="A21">
        <v>10</v>
      </c>
      <c r="B21">
        <v>6</v>
      </c>
      <c r="C21" s="35" t="s">
        <v>7</v>
      </c>
      <c r="D21" s="1">
        <v>30</v>
      </c>
      <c r="E21" s="1">
        <v>20</v>
      </c>
      <c r="F21" s="1">
        <v>85</v>
      </c>
      <c r="G21">
        <v>4250</v>
      </c>
      <c r="H21">
        <v>35</v>
      </c>
      <c r="I21" s="1"/>
      <c r="K21" s="1"/>
      <c r="N21" s="5" t="s">
        <v>6</v>
      </c>
      <c r="O21" s="37">
        <v>3</v>
      </c>
    </row>
    <row r="22" spans="1:19" x14ac:dyDescent="0.35">
      <c r="A22">
        <v>10</v>
      </c>
      <c r="B22">
        <v>8</v>
      </c>
      <c r="C22" s="35" t="s">
        <v>9</v>
      </c>
      <c r="D22" s="1">
        <v>30</v>
      </c>
      <c r="E22" s="1">
        <v>20</v>
      </c>
      <c r="F22" s="1">
        <v>65</v>
      </c>
      <c r="G22">
        <v>3250</v>
      </c>
      <c r="H22">
        <v>15</v>
      </c>
      <c r="I22" s="1"/>
      <c r="K22" s="1"/>
      <c r="N22" s="5" t="s">
        <v>7</v>
      </c>
      <c r="O22" s="37">
        <v>3</v>
      </c>
    </row>
    <row r="23" spans="1:19" x14ac:dyDescent="0.35">
      <c r="A23">
        <v>10</v>
      </c>
      <c r="B23">
        <v>11</v>
      </c>
      <c r="C23" s="35" t="s">
        <v>12</v>
      </c>
      <c r="D23" s="1">
        <v>30</v>
      </c>
      <c r="E23" s="1">
        <v>20</v>
      </c>
      <c r="F23" s="1">
        <v>50</v>
      </c>
      <c r="G23">
        <v>2500</v>
      </c>
      <c r="H23">
        <v>0</v>
      </c>
      <c r="I23" s="1"/>
      <c r="K23" s="1"/>
      <c r="N23" s="5" t="s">
        <v>5</v>
      </c>
      <c r="O23" s="37">
        <v>1</v>
      </c>
    </row>
    <row r="24" spans="1:19" x14ac:dyDescent="0.35">
      <c r="A24">
        <v>11</v>
      </c>
      <c r="B24">
        <v>1</v>
      </c>
      <c r="C24" s="35" t="s">
        <v>2</v>
      </c>
      <c r="D24" s="1">
        <v>30</v>
      </c>
      <c r="E24" s="1">
        <v>20</v>
      </c>
      <c r="F24" s="1">
        <v>55</v>
      </c>
      <c r="G24">
        <v>2750</v>
      </c>
      <c r="H24">
        <v>5</v>
      </c>
      <c r="I24" s="1"/>
      <c r="K24" s="1"/>
      <c r="N24" s="5" t="s">
        <v>4</v>
      </c>
      <c r="O24" s="37">
        <v>1</v>
      </c>
    </row>
    <row r="25" spans="1:19" x14ac:dyDescent="0.35">
      <c r="A25">
        <v>11</v>
      </c>
      <c r="B25">
        <v>2</v>
      </c>
      <c r="C25" s="35" t="s">
        <v>3</v>
      </c>
      <c r="D25" s="1">
        <v>30</v>
      </c>
      <c r="E25" s="1">
        <v>20</v>
      </c>
      <c r="F25" s="1">
        <v>70</v>
      </c>
      <c r="G25">
        <v>3500</v>
      </c>
      <c r="H25">
        <v>20</v>
      </c>
      <c r="I25" s="1"/>
      <c r="K25" s="1"/>
      <c r="N25" s="5" t="s">
        <v>18</v>
      </c>
      <c r="O25" s="37">
        <v>16</v>
      </c>
    </row>
    <row r="26" spans="1:19" x14ac:dyDescent="0.35">
      <c r="A26">
        <v>11</v>
      </c>
      <c r="B26">
        <v>3</v>
      </c>
      <c r="C26" s="35" t="s">
        <v>4</v>
      </c>
      <c r="D26" s="1">
        <v>30</v>
      </c>
      <c r="E26" s="1">
        <v>20</v>
      </c>
      <c r="F26" s="1">
        <v>40</v>
      </c>
      <c r="G26">
        <v>2000</v>
      </c>
      <c r="H26">
        <v>-10</v>
      </c>
      <c r="I26" s="1"/>
      <c r="K26" s="1"/>
    </row>
    <row r="27" spans="1:19" x14ac:dyDescent="0.35">
      <c r="A27">
        <v>11</v>
      </c>
      <c r="B27">
        <v>5</v>
      </c>
      <c r="C27" s="35" t="s">
        <v>6</v>
      </c>
      <c r="D27" s="1">
        <v>30</v>
      </c>
      <c r="E27" s="1">
        <v>20</v>
      </c>
      <c r="F27" s="1">
        <v>30</v>
      </c>
      <c r="G27">
        <v>1500</v>
      </c>
      <c r="H27">
        <v>-20</v>
      </c>
      <c r="I27" s="1"/>
      <c r="K27" s="1"/>
      <c r="N27" s="34" t="s">
        <v>43</v>
      </c>
      <c r="O27" s="34"/>
    </row>
    <row r="28" spans="1:19" x14ac:dyDescent="0.35">
      <c r="A28">
        <v>11</v>
      </c>
      <c r="B28">
        <v>6</v>
      </c>
      <c r="C28" s="35" t="s">
        <v>7</v>
      </c>
      <c r="D28" s="1">
        <v>30</v>
      </c>
      <c r="E28" s="1">
        <v>20</v>
      </c>
      <c r="F28" s="1">
        <v>60</v>
      </c>
      <c r="G28">
        <v>3000</v>
      </c>
      <c r="H28">
        <v>10</v>
      </c>
      <c r="I28" s="1"/>
      <c r="K28" s="1"/>
      <c r="N28" s="3" t="s">
        <v>32</v>
      </c>
      <c r="O28" s="4" t="s">
        <v>75</v>
      </c>
      <c r="P28" s="4" t="s">
        <v>34</v>
      </c>
      <c r="Q28" s="4" t="s">
        <v>40</v>
      </c>
    </row>
    <row r="29" spans="1:19" x14ac:dyDescent="0.35">
      <c r="A29">
        <v>11</v>
      </c>
      <c r="B29">
        <v>7</v>
      </c>
      <c r="C29" s="35" t="s">
        <v>8</v>
      </c>
      <c r="D29" s="1">
        <v>30</v>
      </c>
      <c r="E29" s="1">
        <v>20</v>
      </c>
      <c r="F29" s="1">
        <v>55</v>
      </c>
      <c r="G29">
        <v>2750</v>
      </c>
      <c r="H29">
        <v>5</v>
      </c>
      <c r="I29" s="1"/>
      <c r="K29" s="1"/>
      <c r="N29" s="5" t="s">
        <v>7</v>
      </c>
      <c r="O29" s="37">
        <v>9</v>
      </c>
      <c r="P29" s="37">
        <v>190</v>
      </c>
      <c r="Q29" s="37">
        <v>32000</v>
      </c>
      <c r="R29" s="31"/>
      <c r="S29" s="31"/>
    </row>
    <row r="30" spans="1:19" x14ac:dyDescent="0.35">
      <c r="A30">
        <v>11</v>
      </c>
      <c r="B30">
        <v>11</v>
      </c>
      <c r="C30" s="35" t="s">
        <v>12</v>
      </c>
      <c r="D30" s="1">
        <v>30</v>
      </c>
      <c r="E30" s="1">
        <v>20</v>
      </c>
      <c r="F30" s="1">
        <v>90</v>
      </c>
      <c r="G30">
        <v>4500</v>
      </c>
      <c r="H30">
        <v>40</v>
      </c>
      <c r="I30" s="1"/>
      <c r="K30" s="1"/>
      <c r="N30" s="5" t="s">
        <v>6</v>
      </c>
      <c r="O30" s="37">
        <v>8</v>
      </c>
      <c r="P30" s="37">
        <v>40</v>
      </c>
      <c r="Q30" s="37">
        <v>22000</v>
      </c>
      <c r="R30" s="31"/>
      <c r="S30" s="31"/>
    </row>
    <row r="31" spans="1:19" x14ac:dyDescent="0.35">
      <c r="A31">
        <v>11</v>
      </c>
      <c r="B31">
        <v>12</v>
      </c>
      <c r="C31" s="35" t="s">
        <v>19</v>
      </c>
      <c r="D31" s="1">
        <v>30</v>
      </c>
      <c r="E31" s="1">
        <v>20</v>
      </c>
      <c r="F31" s="1">
        <v>0</v>
      </c>
      <c r="G31">
        <v>0</v>
      </c>
      <c r="H31">
        <v>-50</v>
      </c>
      <c r="I31" s="1"/>
      <c r="K31" s="1"/>
      <c r="N31" s="5" t="s">
        <v>2</v>
      </c>
      <c r="O31" s="37">
        <v>9</v>
      </c>
      <c r="P31" s="37">
        <v>-15</v>
      </c>
      <c r="Q31" s="37">
        <v>21750</v>
      </c>
      <c r="R31" s="31"/>
      <c r="S31" s="31"/>
    </row>
    <row r="32" spans="1:19" x14ac:dyDescent="0.35">
      <c r="A32">
        <v>12</v>
      </c>
      <c r="B32">
        <v>1</v>
      </c>
      <c r="C32" s="35" t="s">
        <v>2</v>
      </c>
      <c r="D32" s="1">
        <v>30</v>
      </c>
      <c r="E32" s="1">
        <v>20</v>
      </c>
      <c r="F32" s="1">
        <v>65</v>
      </c>
      <c r="G32">
        <v>3250</v>
      </c>
      <c r="H32">
        <v>15</v>
      </c>
      <c r="I32" s="1"/>
      <c r="K32" s="1"/>
      <c r="N32" s="5" t="s">
        <v>3</v>
      </c>
      <c r="O32" s="37">
        <v>7</v>
      </c>
      <c r="P32" s="37">
        <v>85</v>
      </c>
      <c r="Q32" s="37">
        <v>21750</v>
      </c>
      <c r="R32" s="31"/>
      <c r="S32" s="31"/>
    </row>
    <row r="33" spans="1:19" x14ac:dyDescent="0.35">
      <c r="A33">
        <v>12</v>
      </c>
      <c r="B33">
        <v>2</v>
      </c>
      <c r="C33" s="35" t="s">
        <v>3</v>
      </c>
      <c r="D33" s="1">
        <v>30</v>
      </c>
      <c r="E33" s="1">
        <v>20</v>
      </c>
      <c r="F33" s="1">
        <v>70</v>
      </c>
      <c r="G33">
        <v>3500</v>
      </c>
      <c r="H33">
        <v>20</v>
      </c>
      <c r="I33" s="1"/>
      <c r="K33" s="1"/>
      <c r="N33" s="5" t="s">
        <v>4</v>
      </c>
      <c r="O33" s="37">
        <v>9</v>
      </c>
      <c r="P33" s="37">
        <v>-85</v>
      </c>
      <c r="Q33" s="37">
        <v>18250</v>
      </c>
      <c r="R33" s="31"/>
      <c r="S33" s="31"/>
    </row>
    <row r="34" spans="1:19" x14ac:dyDescent="0.35">
      <c r="A34">
        <v>12</v>
      </c>
      <c r="B34">
        <v>3</v>
      </c>
      <c r="C34" s="35" t="s">
        <v>4</v>
      </c>
      <c r="D34" s="1">
        <v>30</v>
      </c>
      <c r="E34" s="1">
        <v>20</v>
      </c>
      <c r="F34" s="1">
        <v>50</v>
      </c>
      <c r="G34">
        <v>2500</v>
      </c>
      <c r="H34">
        <v>0</v>
      </c>
      <c r="I34" s="1"/>
      <c r="K34" s="1"/>
      <c r="N34" s="5" t="s">
        <v>9</v>
      </c>
      <c r="O34" s="37">
        <v>4</v>
      </c>
      <c r="P34" s="37">
        <v>75</v>
      </c>
      <c r="Q34" s="37">
        <v>13750</v>
      </c>
      <c r="R34" s="31"/>
      <c r="S34" s="31"/>
    </row>
    <row r="35" spans="1:19" x14ac:dyDescent="0.35">
      <c r="A35">
        <v>12</v>
      </c>
      <c r="B35">
        <v>4</v>
      </c>
      <c r="C35" s="35" t="s">
        <v>5</v>
      </c>
      <c r="D35" s="1">
        <v>30</v>
      </c>
      <c r="E35" s="1">
        <v>20</v>
      </c>
      <c r="F35" s="1">
        <v>0</v>
      </c>
      <c r="G35">
        <v>0</v>
      </c>
      <c r="H35">
        <v>-50</v>
      </c>
      <c r="I35" s="1"/>
      <c r="K35" s="1"/>
      <c r="N35" s="5" t="s">
        <v>8</v>
      </c>
      <c r="O35" s="37">
        <v>6</v>
      </c>
      <c r="P35" s="37">
        <v>-60</v>
      </c>
      <c r="Q35" s="37">
        <v>12000</v>
      </c>
      <c r="R35" s="31"/>
      <c r="S35" s="31"/>
    </row>
    <row r="36" spans="1:19" x14ac:dyDescent="0.35">
      <c r="A36">
        <v>12</v>
      </c>
      <c r="B36">
        <v>5</v>
      </c>
      <c r="C36" s="35" t="s">
        <v>6</v>
      </c>
      <c r="D36" s="1">
        <v>30</v>
      </c>
      <c r="E36" s="1">
        <v>20</v>
      </c>
      <c r="F36" s="1">
        <v>45</v>
      </c>
      <c r="G36">
        <v>2250</v>
      </c>
      <c r="H36">
        <v>-5</v>
      </c>
      <c r="I36" s="1"/>
      <c r="K36" s="1"/>
      <c r="N36" s="5" t="s">
        <v>12</v>
      </c>
      <c r="O36" s="37">
        <v>5</v>
      </c>
      <c r="P36" s="37">
        <v>-50</v>
      </c>
      <c r="Q36" s="37">
        <v>10000</v>
      </c>
      <c r="R36" s="31"/>
      <c r="S36" s="31"/>
    </row>
    <row r="37" spans="1:19" x14ac:dyDescent="0.35">
      <c r="A37">
        <v>12</v>
      </c>
      <c r="B37">
        <v>6</v>
      </c>
      <c r="C37" s="35" t="s">
        <v>7</v>
      </c>
      <c r="D37" s="1">
        <v>30</v>
      </c>
      <c r="E37" s="1">
        <v>20</v>
      </c>
      <c r="F37" s="1">
        <v>125</v>
      </c>
      <c r="G37">
        <v>6250</v>
      </c>
      <c r="H37">
        <v>75</v>
      </c>
      <c r="I37" s="1"/>
      <c r="K37" s="1"/>
      <c r="N37" s="5" t="s">
        <v>5</v>
      </c>
      <c r="O37" s="37">
        <v>3</v>
      </c>
      <c r="P37" s="37">
        <v>-40</v>
      </c>
      <c r="Q37" s="37">
        <v>5500</v>
      </c>
      <c r="R37" s="31"/>
      <c r="S37" s="31"/>
    </row>
    <row r="38" spans="1:19" x14ac:dyDescent="0.35">
      <c r="A38">
        <v>12</v>
      </c>
      <c r="B38">
        <v>7</v>
      </c>
      <c r="C38" s="35" t="s">
        <v>8</v>
      </c>
      <c r="D38" s="1">
        <v>30</v>
      </c>
      <c r="E38" s="1">
        <v>20</v>
      </c>
      <c r="F38" s="1">
        <v>50</v>
      </c>
      <c r="G38">
        <v>2500</v>
      </c>
      <c r="H38">
        <v>0</v>
      </c>
      <c r="I38" s="1"/>
      <c r="K38" s="1"/>
      <c r="N38" s="5" t="s">
        <v>78</v>
      </c>
      <c r="O38" s="37">
        <v>1</v>
      </c>
      <c r="P38" s="37">
        <v>30</v>
      </c>
      <c r="Q38" s="37">
        <v>4000</v>
      </c>
      <c r="R38" s="31"/>
      <c r="S38" s="31"/>
    </row>
    <row r="39" spans="1:19" x14ac:dyDescent="0.35">
      <c r="A39">
        <v>12</v>
      </c>
      <c r="B39">
        <v>8</v>
      </c>
      <c r="C39" s="35" t="s">
        <v>9</v>
      </c>
      <c r="D39" s="1">
        <v>30</v>
      </c>
      <c r="E39" s="1">
        <v>20</v>
      </c>
      <c r="F39" s="1">
        <v>0</v>
      </c>
      <c r="G39">
        <v>0</v>
      </c>
      <c r="H39">
        <v>-50</v>
      </c>
      <c r="I39" s="1"/>
      <c r="K39" s="1"/>
      <c r="N39" s="5" t="s">
        <v>19</v>
      </c>
      <c r="O39" s="37">
        <v>4</v>
      </c>
      <c r="P39" s="37">
        <v>-165</v>
      </c>
      <c r="Q39" s="37">
        <v>1750</v>
      </c>
      <c r="R39" s="31"/>
      <c r="S39" s="31"/>
    </row>
    <row r="40" spans="1:19" x14ac:dyDescent="0.35">
      <c r="A40">
        <v>13</v>
      </c>
      <c r="B40">
        <v>1</v>
      </c>
      <c r="C40" s="35" t="s">
        <v>2</v>
      </c>
      <c r="D40" s="1">
        <v>30</v>
      </c>
      <c r="E40" s="1">
        <v>20</v>
      </c>
      <c r="F40" s="1">
        <v>100</v>
      </c>
      <c r="G40">
        <v>5000</v>
      </c>
      <c r="H40">
        <v>50</v>
      </c>
      <c r="I40" s="1"/>
      <c r="K40" s="1"/>
      <c r="N40" s="5" t="s">
        <v>18</v>
      </c>
      <c r="O40" s="37">
        <v>65</v>
      </c>
      <c r="P40" s="37">
        <v>5</v>
      </c>
      <c r="Q40" s="37">
        <v>162750</v>
      </c>
    </row>
    <row r="41" spans="1:19" x14ac:dyDescent="0.35">
      <c r="A41">
        <v>13</v>
      </c>
      <c r="B41">
        <v>3</v>
      </c>
      <c r="C41" s="35" t="s">
        <v>4</v>
      </c>
      <c r="D41" s="1">
        <v>30</v>
      </c>
      <c r="E41" s="1">
        <v>20</v>
      </c>
      <c r="F41" s="1">
        <v>65</v>
      </c>
      <c r="G41">
        <v>3250</v>
      </c>
      <c r="H41">
        <v>15</v>
      </c>
      <c r="I41" s="1"/>
      <c r="K41" s="1"/>
    </row>
    <row r="42" spans="1:19" x14ac:dyDescent="0.35">
      <c r="A42">
        <v>13</v>
      </c>
      <c r="B42">
        <v>4</v>
      </c>
      <c r="C42" s="35" t="s">
        <v>5</v>
      </c>
      <c r="D42" s="1">
        <v>30</v>
      </c>
      <c r="E42" s="1">
        <v>20</v>
      </c>
      <c r="F42" s="1">
        <v>45</v>
      </c>
      <c r="G42">
        <v>2250</v>
      </c>
      <c r="H42">
        <v>-5</v>
      </c>
      <c r="I42" s="1"/>
      <c r="K42" s="1"/>
    </row>
    <row r="43" spans="1:19" x14ac:dyDescent="0.35">
      <c r="A43">
        <v>13</v>
      </c>
      <c r="B43">
        <v>6</v>
      </c>
      <c r="C43" s="35" t="s">
        <v>7</v>
      </c>
      <c r="D43" s="1">
        <v>30</v>
      </c>
      <c r="E43" s="1">
        <v>20</v>
      </c>
      <c r="F43" s="1">
        <v>85</v>
      </c>
      <c r="G43">
        <v>4250</v>
      </c>
      <c r="H43">
        <v>35</v>
      </c>
      <c r="I43" s="1"/>
      <c r="K43" s="1"/>
    </row>
    <row r="44" spans="1:19" x14ac:dyDescent="0.35">
      <c r="A44">
        <v>13</v>
      </c>
      <c r="B44">
        <v>7</v>
      </c>
      <c r="C44" s="35" t="s">
        <v>8</v>
      </c>
      <c r="D44" s="1">
        <v>30</v>
      </c>
      <c r="E44" s="1">
        <v>20</v>
      </c>
      <c r="F44" s="1">
        <v>55</v>
      </c>
      <c r="G44">
        <v>2750</v>
      </c>
      <c r="H44">
        <v>5</v>
      </c>
      <c r="I44" s="1"/>
      <c r="K44" s="1"/>
    </row>
    <row r="45" spans="1:19" x14ac:dyDescent="0.35">
      <c r="A45">
        <v>13</v>
      </c>
      <c r="B45">
        <v>11</v>
      </c>
      <c r="C45" s="35" t="s">
        <v>12</v>
      </c>
      <c r="D45" s="1">
        <v>30</v>
      </c>
      <c r="E45" s="1">
        <v>20</v>
      </c>
      <c r="F45" s="1">
        <v>0</v>
      </c>
      <c r="G45">
        <v>0</v>
      </c>
      <c r="H45">
        <v>-50</v>
      </c>
      <c r="I45" s="1"/>
      <c r="K45" s="1"/>
    </row>
    <row r="46" spans="1:19" x14ac:dyDescent="0.35">
      <c r="A46">
        <v>13</v>
      </c>
      <c r="B46">
        <v>12</v>
      </c>
      <c r="C46" s="35" t="s">
        <v>19</v>
      </c>
      <c r="D46" s="1">
        <v>30</v>
      </c>
      <c r="E46" s="1">
        <v>20</v>
      </c>
      <c r="F46" s="1">
        <v>0</v>
      </c>
      <c r="G46">
        <v>0</v>
      </c>
      <c r="H46">
        <v>-50</v>
      </c>
      <c r="I46" s="1"/>
      <c r="K46" s="1"/>
    </row>
    <row r="47" spans="1:19" x14ac:dyDescent="0.35">
      <c r="A47">
        <v>14</v>
      </c>
      <c r="B47">
        <v>1</v>
      </c>
      <c r="C47" s="35" t="s">
        <v>2</v>
      </c>
      <c r="D47" s="1">
        <v>30</v>
      </c>
      <c r="E47" s="1">
        <v>20</v>
      </c>
      <c r="F47" s="1">
        <v>35</v>
      </c>
      <c r="G47">
        <v>1750</v>
      </c>
      <c r="H47">
        <v>-15</v>
      </c>
      <c r="I47" s="1"/>
      <c r="K47" s="1"/>
    </row>
    <row r="48" spans="1:19" x14ac:dyDescent="0.35">
      <c r="A48">
        <v>14</v>
      </c>
      <c r="B48">
        <v>3</v>
      </c>
      <c r="C48" s="35" t="s">
        <v>4</v>
      </c>
      <c r="D48" s="1">
        <v>30</v>
      </c>
      <c r="E48" s="1">
        <v>20</v>
      </c>
      <c r="F48" s="1">
        <v>80</v>
      </c>
      <c r="G48">
        <v>4000</v>
      </c>
      <c r="H48">
        <v>30</v>
      </c>
      <c r="I48" s="1"/>
      <c r="K48" s="1"/>
    </row>
    <row r="49" spans="1:11" x14ac:dyDescent="0.35">
      <c r="A49">
        <v>14</v>
      </c>
      <c r="B49">
        <v>4</v>
      </c>
      <c r="C49" s="35" t="s">
        <v>5</v>
      </c>
      <c r="D49" s="1">
        <v>30</v>
      </c>
      <c r="E49" s="1">
        <v>20</v>
      </c>
      <c r="F49" s="1">
        <v>65</v>
      </c>
      <c r="G49">
        <v>3250</v>
      </c>
      <c r="H49">
        <v>15</v>
      </c>
      <c r="I49" s="1"/>
      <c r="K49" s="1"/>
    </row>
    <row r="50" spans="1:11" x14ac:dyDescent="0.35">
      <c r="A50">
        <v>14</v>
      </c>
      <c r="B50">
        <v>5</v>
      </c>
      <c r="C50" s="35" t="s">
        <v>6</v>
      </c>
      <c r="D50" s="1">
        <v>30</v>
      </c>
      <c r="E50" s="1">
        <v>20</v>
      </c>
      <c r="F50" s="1">
        <v>160</v>
      </c>
      <c r="G50">
        <v>8000</v>
      </c>
      <c r="H50">
        <v>110</v>
      </c>
      <c r="I50" s="1"/>
      <c r="K50" s="1"/>
    </row>
    <row r="51" spans="1:11" x14ac:dyDescent="0.35">
      <c r="A51">
        <v>14</v>
      </c>
      <c r="B51">
        <v>7</v>
      </c>
      <c r="C51" s="35" t="s">
        <v>8</v>
      </c>
      <c r="D51" s="1">
        <v>30</v>
      </c>
      <c r="E51" s="1">
        <v>20</v>
      </c>
      <c r="F51" s="1">
        <v>0</v>
      </c>
      <c r="G51">
        <v>0</v>
      </c>
      <c r="H51">
        <v>-50</v>
      </c>
      <c r="I51" s="1"/>
      <c r="K51" s="1"/>
    </row>
    <row r="52" spans="1:11" x14ac:dyDescent="0.35">
      <c r="A52">
        <v>14</v>
      </c>
      <c r="B52">
        <v>12</v>
      </c>
      <c r="C52" s="35" t="s">
        <v>19</v>
      </c>
      <c r="D52" s="1">
        <v>30</v>
      </c>
      <c r="E52" s="1">
        <v>20</v>
      </c>
      <c r="F52" s="1">
        <v>10</v>
      </c>
      <c r="G52">
        <v>500</v>
      </c>
      <c r="H52">
        <v>-40</v>
      </c>
      <c r="I52" s="1"/>
      <c r="K52" s="1"/>
    </row>
    <row r="53" spans="1:11" x14ac:dyDescent="0.35">
      <c r="A53">
        <v>14</v>
      </c>
      <c r="B53">
        <v>6</v>
      </c>
      <c r="C53" s="35" t="s">
        <v>7</v>
      </c>
      <c r="D53" s="1">
        <v>30</v>
      </c>
      <c r="E53" s="1">
        <v>20</v>
      </c>
      <c r="F53" s="1">
        <v>0</v>
      </c>
      <c r="G53">
        <v>0</v>
      </c>
      <c r="H53">
        <v>-50</v>
      </c>
      <c r="I53" s="1"/>
      <c r="K53" s="1"/>
    </row>
    <row r="54" spans="1:11" x14ac:dyDescent="0.35">
      <c r="A54">
        <v>15</v>
      </c>
      <c r="B54">
        <v>1</v>
      </c>
      <c r="C54" s="35" t="s">
        <v>2</v>
      </c>
      <c r="D54" s="1">
        <v>30</v>
      </c>
      <c r="E54" s="1">
        <v>20</v>
      </c>
      <c r="F54" s="1">
        <v>30</v>
      </c>
      <c r="G54">
        <v>1500</v>
      </c>
      <c r="H54">
        <v>-20</v>
      </c>
      <c r="I54" s="1"/>
      <c r="K54" s="1"/>
    </row>
    <row r="55" spans="1:11" x14ac:dyDescent="0.35">
      <c r="A55">
        <v>15</v>
      </c>
      <c r="B55">
        <v>2</v>
      </c>
      <c r="C55" s="35" t="s">
        <v>3</v>
      </c>
      <c r="D55" s="1">
        <v>30</v>
      </c>
      <c r="E55" s="1">
        <v>20</v>
      </c>
      <c r="F55" s="1">
        <v>90</v>
      </c>
      <c r="G55">
        <v>4500</v>
      </c>
      <c r="H55">
        <v>40</v>
      </c>
      <c r="I55" s="1"/>
      <c r="K55" s="1"/>
    </row>
    <row r="56" spans="1:11" x14ac:dyDescent="0.35">
      <c r="A56">
        <v>15</v>
      </c>
      <c r="B56">
        <v>3</v>
      </c>
      <c r="C56" s="35" t="s">
        <v>4</v>
      </c>
      <c r="D56" s="1">
        <v>30</v>
      </c>
      <c r="E56" s="1">
        <v>20</v>
      </c>
      <c r="F56" s="1">
        <v>0</v>
      </c>
      <c r="G56">
        <v>0</v>
      </c>
      <c r="H56">
        <v>-50</v>
      </c>
      <c r="I56" s="1"/>
      <c r="K56" s="1"/>
    </row>
    <row r="57" spans="1:11" x14ac:dyDescent="0.35">
      <c r="A57">
        <v>15</v>
      </c>
      <c r="B57">
        <v>5</v>
      </c>
      <c r="C57" s="35" t="s">
        <v>6</v>
      </c>
      <c r="D57" s="1">
        <v>30</v>
      </c>
      <c r="E57" s="1">
        <v>20</v>
      </c>
      <c r="F57" s="1">
        <v>0</v>
      </c>
      <c r="G57">
        <v>0</v>
      </c>
      <c r="H57">
        <v>-50</v>
      </c>
      <c r="I57" s="1"/>
      <c r="K57" s="1"/>
    </row>
    <row r="58" spans="1:11" x14ac:dyDescent="0.35">
      <c r="A58">
        <v>15</v>
      </c>
      <c r="B58">
        <v>6</v>
      </c>
      <c r="C58" s="35" t="s">
        <v>7</v>
      </c>
      <c r="D58" s="1">
        <v>30</v>
      </c>
      <c r="E58" s="1">
        <v>20</v>
      </c>
      <c r="F58" s="1">
        <v>120</v>
      </c>
      <c r="G58">
        <v>6000</v>
      </c>
      <c r="H58">
        <v>70</v>
      </c>
      <c r="I58" s="1"/>
      <c r="K58" s="1"/>
    </row>
    <row r="59" spans="1:11" x14ac:dyDescent="0.35">
      <c r="A59">
        <v>15</v>
      </c>
      <c r="B59">
        <v>13</v>
      </c>
      <c r="C59" s="35" t="s">
        <v>78</v>
      </c>
      <c r="D59" s="1">
        <v>30</v>
      </c>
      <c r="E59" s="1">
        <v>20</v>
      </c>
      <c r="F59" s="1">
        <v>80</v>
      </c>
      <c r="G59">
        <v>4000</v>
      </c>
      <c r="H59">
        <v>30</v>
      </c>
      <c r="I59" s="1"/>
      <c r="K59" s="1"/>
    </row>
    <row r="60" spans="1:11" x14ac:dyDescent="0.35">
      <c r="A60">
        <v>15</v>
      </c>
      <c r="B60">
        <v>7</v>
      </c>
      <c r="C60" s="35" t="s">
        <v>8</v>
      </c>
      <c r="D60" s="1">
        <v>30</v>
      </c>
      <c r="E60" s="1">
        <v>20</v>
      </c>
      <c r="F60" s="1">
        <v>30</v>
      </c>
      <c r="G60">
        <v>1500</v>
      </c>
      <c r="H60">
        <v>-20</v>
      </c>
      <c r="I60" s="1"/>
      <c r="K60" s="1"/>
    </row>
    <row r="61" spans="1:11" x14ac:dyDescent="0.35">
      <c r="A61">
        <v>16</v>
      </c>
      <c r="B61">
        <v>1</v>
      </c>
      <c r="C61" s="35" t="s">
        <v>2</v>
      </c>
      <c r="D61" s="1">
        <v>30</v>
      </c>
      <c r="E61" s="1">
        <v>20</v>
      </c>
      <c r="F61" s="1">
        <v>95</v>
      </c>
      <c r="G61">
        <v>4750</v>
      </c>
      <c r="H61">
        <v>45</v>
      </c>
      <c r="I61" s="1"/>
      <c r="K61" s="1"/>
    </row>
    <row r="62" spans="1:11" x14ac:dyDescent="0.35">
      <c r="A62">
        <v>16</v>
      </c>
      <c r="B62">
        <v>2</v>
      </c>
      <c r="C62" s="35" t="s">
        <v>3</v>
      </c>
      <c r="D62" s="1">
        <v>30</v>
      </c>
      <c r="E62" s="1">
        <v>20</v>
      </c>
      <c r="F62" s="1">
        <v>70</v>
      </c>
      <c r="G62">
        <v>3500</v>
      </c>
      <c r="H62">
        <v>20</v>
      </c>
    </row>
    <row r="63" spans="1:11" x14ac:dyDescent="0.35">
      <c r="A63">
        <v>16</v>
      </c>
      <c r="B63">
        <v>3</v>
      </c>
      <c r="C63" s="35" t="s">
        <v>4</v>
      </c>
      <c r="D63" s="1">
        <v>30</v>
      </c>
      <c r="E63" s="1">
        <v>20</v>
      </c>
      <c r="F63" s="1">
        <v>0</v>
      </c>
      <c r="G63">
        <v>0</v>
      </c>
      <c r="H63">
        <v>-50</v>
      </c>
    </row>
    <row r="64" spans="1:11" x14ac:dyDescent="0.35">
      <c r="A64">
        <v>16</v>
      </c>
      <c r="B64">
        <v>5</v>
      </c>
      <c r="C64" s="35" t="s">
        <v>6</v>
      </c>
      <c r="D64" s="1">
        <v>30</v>
      </c>
      <c r="E64" s="1">
        <v>20</v>
      </c>
      <c r="F64" s="1">
        <v>5</v>
      </c>
      <c r="G64">
        <v>250</v>
      </c>
      <c r="H64">
        <v>-45</v>
      </c>
    </row>
    <row r="65" spans="1:8" x14ac:dyDescent="0.35">
      <c r="A65">
        <v>16</v>
      </c>
      <c r="B65">
        <v>6</v>
      </c>
      <c r="C65" s="35" t="s">
        <v>7</v>
      </c>
      <c r="D65" s="1">
        <v>30</v>
      </c>
      <c r="E65" s="1">
        <v>20</v>
      </c>
      <c r="F65" s="1">
        <v>25</v>
      </c>
      <c r="G65">
        <v>1250</v>
      </c>
      <c r="H65">
        <v>-25</v>
      </c>
    </row>
    <row r="66" spans="1:8" x14ac:dyDescent="0.35">
      <c r="A66">
        <v>16</v>
      </c>
      <c r="B66">
        <v>8</v>
      </c>
      <c r="C66" s="35" t="s">
        <v>9</v>
      </c>
      <c r="D66" s="1">
        <v>30</v>
      </c>
      <c r="E66" s="1">
        <v>20</v>
      </c>
      <c r="F66" s="1">
        <v>105</v>
      </c>
      <c r="G66">
        <v>5250</v>
      </c>
      <c r="H66">
        <v>55</v>
      </c>
    </row>
    <row r="67" spans="1:8" x14ac:dyDescent="0.35">
      <c r="D67" s="1"/>
      <c r="E67" s="1"/>
      <c r="F67" s="1"/>
      <c r="G67" s="1"/>
      <c r="H67" s="1"/>
    </row>
  </sheetData>
  <mergeCells count="3">
    <mergeCell ref="N1:O1"/>
    <mergeCell ref="N17:O17"/>
    <mergeCell ref="N27:O27"/>
  </mergeCells>
  <phoneticPr fontId="1" type="noConversion"/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8"/>
  <sheetViews>
    <sheetView workbookViewId="0">
      <selection activeCell="H57" sqref="H57"/>
    </sheetView>
  </sheetViews>
  <sheetFormatPr defaultRowHeight="14.5" x14ac:dyDescent="0.35"/>
  <cols>
    <col min="1" max="1" width="16.36328125" bestFit="1" customWidth="1"/>
    <col min="2" max="2" width="36.81640625" bestFit="1" customWidth="1"/>
    <col min="3" max="3" width="16.1796875" bestFit="1" customWidth="1"/>
    <col min="4" max="4" width="15.453125" bestFit="1" customWidth="1"/>
    <col min="5" max="5" width="32.81640625" bestFit="1" customWidth="1"/>
    <col min="6" max="10" width="18.7265625" bestFit="1" customWidth="1"/>
    <col min="11" max="11" width="11.26953125" bestFit="1" customWidth="1"/>
  </cols>
  <sheetData>
    <row r="1" spans="1:5" x14ac:dyDescent="0.35">
      <c r="A1" t="s">
        <v>44</v>
      </c>
      <c r="B1" t="s">
        <v>35</v>
      </c>
      <c r="C1" t="s">
        <v>45</v>
      </c>
      <c r="D1" t="s">
        <v>46</v>
      </c>
      <c r="E1" t="s">
        <v>47</v>
      </c>
    </row>
    <row r="2" spans="1:5" x14ac:dyDescent="0.35">
      <c r="A2">
        <v>13</v>
      </c>
      <c r="B2" t="s">
        <v>78</v>
      </c>
      <c r="C2" s="1">
        <v>80</v>
      </c>
      <c r="D2">
        <v>1</v>
      </c>
      <c r="E2" s="1">
        <v>80</v>
      </c>
    </row>
    <row r="3" spans="1:5" x14ac:dyDescent="0.35">
      <c r="A3">
        <v>2</v>
      </c>
      <c r="B3" t="s">
        <v>3</v>
      </c>
      <c r="C3" s="1">
        <v>595</v>
      </c>
      <c r="D3">
        <v>9</v>
      </c>
      <c r="E3" s="1">
        <v>66.111099999999993</v>
      </c>
    </row>
    <row r="4" spans="1:5" x14ac:dyDescent="0.35">
      <c r="A4">
        <v>6</v>
      </c>
      <c r="B4" t="s">
        <v>7</v>
      </c>
      <c r="C4" s="1">
        <v>1000</v>
      </c>
      <c r="D4">
        <v>16</v>
      </c>
      <c r="E4" s="1">
        <v>62.5</v>
      </c>
    </row>
    <row r="5" spans="1:5" x14ac:dyDescent="0.35">
      <c r="A5">
        <v>8</v>
      </c>
      <c r="B5" t="s">
        <v>9</v>
      </c>
      <c r="C5" s="1">
        <v>365</v>
      </c>
      <c r="D5">
        <v>8</v>
      </c>
      <c r="E5" s="1">
        <v>45.625</v>
      </c>
    </row>
    <row r="6" spans="1:5" x14ac:dyDescent="0.35">
      <c r="A6">
        <v>5</v>
      </c>
      <c r="B6" t="s">
        <v>6</v>
      </c>
      <c r="C6" s="1">
        <v>650</v>
      </c>
      <c r="D6">
        <v>15</v>
      </c>
      <c r="E6" s="1">
        <v>43.333300000000001</v>
      </c>
    </row>
    <row r="7" spans="1:5" x14ac:dyDescent="0.35">
      <c r="A7">
        <v>7</v>
      </c>
      <c r="B7" t="s">
        <v>8</v>
      </c>
      <c r="C7" s="1">
        <v>475</v>
      </c>
      <c r="D7">
        <v>11</v>
      </c>
      <c r="E7" s="1">
        <v>43.181800000000003</v>
      </c>
    </row>
    <row r="8" spans="1:5" x14ac:dyDescent="0.35">
      <c r="A8">
        <v>1</v>
      </c>
      <c r="B8" t="s">
        <v>2</v>
      </c>
      <c r="C8" s="1">
        <v>665</v>
      </c>
      <c r="D8">
        <v>16</v>
      </c>
      <c r="E8" s="1">
        <v>41.5625</v>
      </c>
    </row>
    <row r="9" spans="1:5" x14ac:dyDescent="0.35">
      <c r="A9">
        <v>4</v>
      </c>
      <c r="B9" t="s">
        <v>5</v>
      </c>
      <c r="C9" s="1">
        <v>260</v>
      </c>
      <c r="D9">
        <v>7</v>
      </c>
      <c r="E9" s="1">
        <v>37.142899999999997</v>
      </c>
    </row>
    <row r="10" spans="1:5" x14ac:dyDescent="0.35">
      <c r="A10">
        <v>3</v>
      </c>
      <c r="B10" t="s">
        <v>4</v>
      </c>
      <c r="C10" s="1">
        <v>530</v>
      </c>
      <c r="D10">
        <v>16</v>
      </c>
      <c r="E10" s="1">
        <v>33.125</v>
      </c>
    </row>
    <row r="11" spans="1:5" x14ac:dyDescent="0.35">
      <c r="A11">
        <v>11</v>
      </c>
      <c r="B11" t="s">
        <v>12</v>
      </c>
      <c r="C11" s="1">
        <v>305</v>
      </c>
      <c r="D11">
        <v>10</v>
      </c>
      <c r="E11" s="1">
        <v>30.5</v>
      </c>
    </row>
    <row r="12" spans="1:5" x14ac:dyDescent="0.35">
      <c r="A12">
        <v>12</v>
      </c>
      <c r="B12" t="s">
        <v>19</v>
      </c>
      <c r="C12" s="1">
        <v>35</v>
      </c>
      <c r="D12">
        <v>5</v>
      </c>
      <c r="E12" s="1">
        <v>7</v>
      </c>
    </row>
    <row r="13" spans="1:5" x14ac:dyDescent="0.35">
      <c r="A13" t="s">
        <v>20</v>
      </c>
      <c r="C13" s="1"/>
      <c r="E13" s="1"/>
    </row>
    <row r="15" spans="1:5" ht="19.5" customHeight="1" x14ac:dyDescent="0.35">
      <c r="A15" t="s">
        <v>51</v>
      </c>
    </row>
    <row r="17" spans="1:2" x14ac:dyDescent="0.35">
      <c r="A17" s="3" t="s">
        <v>39</v>
      </c>
      <c r="B17" s="4" t="s">
        <v>48</v>
      </c>
    </row>
    <row r="18" spans="1:2" x14ac:dyDescent="0.35">
      <c r="A18" s="5" t="s">
        <v>3</v>
      </c>
      <c r="B18" s="6">
        <v>66.111099999999993</v>
      </c>
    </row>
    <row r="19" spans="1:2" x14ac:dyDescent="0.35">
      <c r="A19" s="5" t="s">
        <v>7</v>
      </c>
      <c r="B19" s="6">
        <v>62.5</v>
      </c>
    </row>
    <row r="20" spans="1:2" x14ac:dyDescent="0.35">
      <c r="A20" s="5" t="s">
        <v>9</v>
      </c>
      <c r="B20" s="6">
        <v>45.625</v>
      </c>
    </row>
    <row r="21" spans="1:2" x14ac:dyDescent="0.35">
      <c r="A21" s="5" t="s">
        <v>6</v>
      </c>
      <c r="B21" s="6">
        <v>43.333300000000001</v>
      </c>
    </row>
    <row r="22" spans="1:2" x14ac:dyDescent="0.35">
      <c r="A22" s="5" t="s">
        <v>8</v>
      </c>
      <c r="B22" s="6">
        <v>43.181800000000003</v>
      </c>
    </row>
    <row r="23" spans="1:2" x14ac:dyDescent="0.35">
      <c r="A23" s="5" t="s">
        <v>2</v>
      </c>
      <c r="B23" s="6">
        <v>41.5625</v>
      </c>
    </row>
    <row r="24" spans="1:2" x14ac:dyDescent="0.35">
      <c r="A24" s="5" t="s">
        <v>5</v>
      </c>
      <c r="B24" s="6">
        <v>37.142899999999997</v>
      </c>
    </row>
    <row r="25" spans="1:2" x14ac:dyDescent="0.35">
      <c r="A25" s="5" t="s">
        <v>4</v>
      </c>
      <c r="B25" s="6">
        <v>33.125</v>
      </c>
    </row>
    <row r="26" spans="1:2" x14ac:dyDescent="0.35">
      <c r="A26" s="5" t="s">
        <v>12</v>
      </c>
      <c r="B26" s="6">
        <v>30.5</v>
      </c>
    </row>
    <row r="27" spans="1:2" x14ac:dyDescent="0.35">
      <c r="A27" s="5" t="s">
        <v>19</v>
      </c>
      <c r="B27" s="6">
        <v>7</v>
      </c>
    </row>
    <row r="28" spans="1:2" x14ac:dyDescent="0.35">
      <c r="A28" s="5" t="s">
        <v>18</v>
      </c>
      <c r="B28" s="6">
        <v>410.08160000000004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F12"/>
  <sheetViews>
    <sheetView workbookViewId="0">
      <selection activeCell="F8" sqref="F8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5" bestFit="1" customWidth="1"/>
    <col min="4" max="4" width="14" bestFit="1" customWidth="1"/>
    <col min="5" max="5" width="15.1796875" bestFit="1" customWidth="1"/>
    <col min="6" max="6" width="13.90625" bestFit="1" customWidth="1"/>
    <col min="7" max="10" width="7.54296875" bestFit="1" customWidth="1"/>
    <col min="11" max="11" width="6.54296875" bestFit="1" customWidth="1"/>
    <col min="12" max="12" width="11.26953125" bestFit="1" customWidth="1"/>
  </cols>
  <sheetData>
    <row r="1" spans="1:6" x14ac:dyDescent="0.35">
      <c r="A1" t="s">
        <v>22</v>
      </c>
      <c r="B1" t="s">
        <v>35</v>
      </c>
      <c r="C1" t="s">
        <v>49</v>
      </c>
      <c r="D1" t="s">
        <v>50</v>
      </c>
      <c r="E1" t="s">
        <v>31</v>
      </c>
      <c r="F1" t="s">
        <v>79</v>
      </c>
    </row>
    <row r="2" spans="1:6" x14ac:dyDescent="0.35">
      <c r="A2">
        <v>6</v>
      </c>
      <c r="B2" t="s">
        <v>7</v>
      </c>
      <c r="C2" s="1">
        <v>640</v>
      </c>
      <c r="D2">
        <v>9</v>
      </c>
      <c r="E2">
        <v>32000</v>
      </c>
      <c r="F2" s="30">
        <f>Players_Top_10_for_2026_1[[#This Row],[League_Points]]/Players_Top_10_for_2026_1[[#This Row],[Appearances]]</f>
        <v>3555.5555555555557</v>
      </c>
    </row>
    <row r="3" spans="1:6" x14ac:dyDescent="0.35">
      <c r="A3">
        <v>5</v>
      </c>
      <c r="B3" t="s">
        <v>6</v>
      </c>
      <c r="C3" s="1">
        <v>440</v>
      </c>
      <c r="D3">
        <v>8</v>
      </c>
      <c r="E3">
        <v>22000</v>
      </c>
      <c r="F3" s="30">
        <f>Players_Top_10_for_2026_1[[#This Row],[League_Points]]/Players_Top_10_for_2026_1[[#This Row],[Appearances]]</f>
        <v>2750</v>
      </c>
    </row>
    <row r="4" spans="1:6" x14ac:dyDescent="0.35">
      <c r="A4">
        <v>1</v>
      </c>
      <c r="B4" t="s">
        <v>2</v>
      </c>
      <c r="C4" s="1">
        <v>435</v>
      </c>
      <c r="D4">
        <v>9</v>
      </c>
      <c r="E4">
        <v>21750</v>
      </c>
      <c r="F4" s="30">
        <f>Players_Top_10_for_2026_1[[#This Row],[League_Points]]/Players_Top_10_for_2026_1[[#This Row],[Appearances]]</f>
        <v>2416.6666666666665</v>
      </c>
    </row>
    <row r="5" spans="1:6" x14ac:dyDescent="0.35">
      <c r="A5">
        <v>2</v>
      </c>
      <c r="B5" t="s">
        <v>3</v>
      </c>
      <c r="C5" s="1">
        <v>435</v>
      </c>
      <c r="D5">
        <v>7</v>
      </c>
      <c r="E5">
        <v>21750</v>
      </c>
      <c r="F5" s="30">
        <f>Players_Top_10_for_2026_1[[#This Row],[League_Points]]/Players_Top_10_for_2026_1[[#This Row],[Appearances]]</f>
        <v>3107.1428571428573</v>
      </c>
    </row>
    <row r="6" spans="1:6" x14ac:dyDescent="0.35">
      <c r="A6">
        <v>3</v>
      </c>
      <c r="B6" t="s">
        <v>4</v>
      </c>
      <c r="C6" s="1">
        <v>365</v>
      </c>
      <c r="D6">
        <v>9</v>
      </c>
      <c r="E6">
        <v>18250</v>
      </c>
      <c r="F6" s="30">
        <f>Players_Top_10_for_2026_1[[#This Row],[League_Points]]/Players_Top_10_for_2026_1[[#This Row],[Appearances]]</f>
        <v>2027.7777777777778</v>
      </c>
    </row>
    <row r="7" spans="1:6" x14ac:dyDescent="0.35">
      <c r="A7">
        <v>8</v>
      </c>
      <c r="B7" t="s">
        <v>9</v>
      </c>
      <c r="C7" s="1">
        <v>275</v>
      </c>
      <c r="D7">
        <v>4</v>
      </c>
      <c r="E7">
        <v>13750</v>
      </c>
      <c r="F7" s="30">
        <f>Players_Top_10_for_2026_1[[#This Row],[League_Points]]/Players_Top_10_for_2026_1[[#This Row],[Appearances]]</f>
        <v>3437.5</v>
      </c>
    </row>
    <row r="8" spans="1:6" x14ac:dyDescent="0.35">
      <c r="A8">
        <v>7</v>
      </c>
      <c r="B8" t="s">
        <v>8</v>
      </c>
      <c r="C8" s="1">
        <v>240</v>
      </c>
      <c r="D8">
        <v>6</v>
      </c>
      <c r="E8">
        <v>12000</v>
      </c>
      <c r="F8" s="30">
        <f>Players_Top_10_for_2026_1[[#This Row],[League_Points]]/Players_Top_10_for_2026_1[[#This Row],[Appearances]]</f>
        <v>2000</v>
      </c>
    </row>
    <row r="9" spans="1:6" x14ac:dyDescent="0.35">
      <c r="A9">
        <v>11</v>
      </c>
      <c r="B9" t="s">
        <v>12</v>
      </c>
      <c r="C9" s="1">
        <v>200</v>
      </c>
      <c r="D9">
        <v>5</v>
      </c>
      <c r="E9">
        <v>10000</v>
      </c>
      <c r="F9" s="30">
        <f>Players_Top_10_for_2026_1[[#This Row],[League_Points]]/Players_Top_10_for_2026_1[[#This Row],[Appearances]]</f>
        <v>2000</v>
      </c>
    </row>
    <row r="10" spans="1:6" x14ac:dyDescent="0.35">
      <c r="A10">
        <v>4</v>
      </c>
      <c r="B10" t="s">
        <v>5</v>
      </c>
      <c r="C10" s="1">
        <v>110</v>
      </c>
      <c r="D10">
        <v>3</v>
      </c>
      <c r="E10">
        <v>5500</v>
      </c>
      <c r="F10" s="30">
        <f>Players_Top_10_for_2026_1[[#This Row],[League_Points]]/Players_Top_10_for_2026_1[[#This Row],[Appearances]]</f>
        <v>1833.3333333333333</v>
      </c>
    </row>
    <row r="11" spans="1:6" x14ac:dyDescent="0.35">
      <c r="A11">
        <v>13</v>
      </c>
      <c r="B11" t="s">
        <v>78</v>
      </c>
      <c r="C11" s="1">
        <v>80</v>
      </c>
      <c r="D11">
        <v>1</v>
      </c>
      <c r="E11">
        <v>4000</v>
      </c>
      <c r="F11" s="30">
        <f>Players_Top_10_for_2026_1[[#This Row],[League_Points]]/Players_Top_10_for_2026_1[[#This Row],[Appearances]]</f>
        <v>4000</v>
      </c>
    </row>
    <row r="12" spans="1:6" x14ac:dyDescent="0.35">
      <c r="A12">
        <v>12</v>
      </c>
      <c r="B12" t="s">
        <v>19</v>
      </c>
      <c r="C12" s="1">
        <v>35</v>
      </c>
      <c r="D12">
        <v>4</v>
      </c>
      <c r="E12">
        <v>1750</v>
      </c>
      <c r="F12" s="30">
        <f>Players_Top_10_for_2026_1[[#This Row],[League_Points]]/Players_Top_10_for_2026_1[[#This Row],[Appearances]]</f>
        <v>437.5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W67"/>
  <sheetViews>
    <sheetView workbookViewId="0">
      <selection activeCell="N30" sqref="N30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0.08984375" bestFit="1" customWidth="1"/>
    <col min="4" max="4" width="11.08984375" bestFit="1" customWidth="1"/>
    <col min="5" max="5" width="10.36328125" bestFit="1" customWidth="1"/>
    <col min="6" max="6" width="14.6328125" bestFit="1" customWidth="1"/>
    <col min="7" max="7" width="7" customWidth="1"/>
    <col min="8" max="9" width="2.26953125" customWidth="1"/>
    <col min="10" max="10" width="4" customWidth="1"/>
    <col min="11" max="11" width="18.7265625" bestFit="1" customWidth="1"/>
    <col min="12" max="12" width="15.6328125" bestFit="1" customWidth="1"/>
    <col min="13" max="13" width="17.08984375" bestFit="1" customWidth="1"/>
    <col min="14" max="14" width="11.7265625" bestFit="1" customWidth="1"/>
    <col min="15" max="15" width="11.6328125" bestFit="1" customWidth="1"/>
    <col min="16" max="16" width="8.7265625" bestFit="1" customWidth="1"/>
    <col min="17" max="17" width="11" bestFit="1" customWidth="1"/>
    <col min="18" max="18" width="12.26953125" bestFit="1" customWidth="1"/>
    <col min="19" max="19" width="13.81640625" bestFit="1" customWidth="1"/>
    <col min="20" max="20" width="13.54296875" bestFit="1" customWidth="1"/>
    <col min="21" max="21" width="12.26953125" bestFit="1" customWidth="1"/>
    <col min="22" max="22" width="11.54296875" bestFit="1" customWidth="1"/>
    <col min="23" max="23" width="10.36328125" bestFit="1" customWidth="1"/>
  </cols>
  <sheetData>
    <row r="1" spans="1:23" x14ac:dyDescent="0.35">
      <c r="A1" t="s">
        <v>22</v>
      </c>
      <c r="B1" t="s">
        <v>35</v>
      </c>
      <c r="C1" t="s">
        <v>52</v>
      </c>
      <c r="D1" t="s">
        <v>53</v>
      </c>
      <c r="E1" t="s">
        <v>17</v>
      </c>
      <c r="F1" t="s">
        <v>38</v>
      </c>
    </row>
    <row r="2" spans="1:23" x14ac:dyDescent="0.35">
      <c r="A2">
        <v>1</v>
      </c>
      <c r="B2" s="35" t="s">
        <v>2</v>
      </c>
      <c r="C2" s="2">
        <v>46136</v>
      </c>
      <c r="D2">
        <v>13</v>
      </c>
      <c r="E2" s="1">
        <v>100</v>
      </c>
      <c r="F2" s="35">
        <v>5000</v>
      </c>
      <c r="K2" s="8" t="s">
        <v>40</v>
      </c>
      <c r="L2" s="8" t="s">
        <v>54</v>
      </c>
    </row>
    <row r="3" spans="1:23" x14ac:dyDescent="0.35">
      <c r="A3">
        <v>1</v>
      </c>
      <c r="B3" s="35" t="s">
        <v>2</v>
      </c>
      <c r="C3" s="2">
        <v>46220</v>
      </c>
      <c r="D3">
        <v>16</v>
      </c>
      <c r="E3" s="1">
        <v>95</v>
      </c>
      <c r="F3" s="35">
        <v>4750</v>
      </c>
      <c r="K3" s="8" t="s">
        <v>39</v>
      </c>
      <c r="L3" t="s">
        <v>4</v>
      </c>
      <c r="M3" t="s">
        <v>8</v>
      </c>
      <c r="N3" t="s">
        <v>3</v>
      </c>
      <c r="O3" t="s">
        <v>78</v>
      </c>
      <c r="P3" t="s">
        <v>7</v>
      </c>
      <c r="Q3" t="s">
        <v>12</v>
      </c>
      <c r="R3" t="s">
        <v>2</v>
      </c>
      <c r="S3" t="s">
        <v>6</v>
      </c>
      <c r="T3" t="s">
        <v>19</v>
      </c>
      <c r="U3" t="s">
        <v>5</v>
      </c>
      <c r="V3" t="s">
        <v>9</v>
      </c>
      <c r="W3" t="s">
        <v>18</v>
      </c>
    </row>
    <row r="4" spans="1:23" x14ac:dyDescent="0.35">
      <c r="A4">
        <v>1</v>
      </c>
      <c r="B4" s="35" t="s">
        <v>2</v>
      </c>
      <c r="C4" s="2">
        <v>46115</v>
      </c>
      <c r="D4">
        <v>12</v>
      </c>
      <c r="E4" s="1">
        <v>65</v>
      </c>
      <c r="F4" s="35">
        <v>3250</v>
      </c>
      <c r="K4" s="10">
        <v>46024</v>
      </c>
      <c r="L4" s="35">
        <v>1250</v>
      </c>
      <c r="M4" s="35">
        <v>2500</v>
      </c>
      <c r="N4" s="35">
        <v>2250</v>
      </c>
      <c r="O4" s="35"/>
      <c r="P4" s="35">
        <v>7000</v>
      </c>
      <c r="Q4" s="35">
        <v>0</v>
      </c>
      <c r="R4" s="35">
        <v>0</v>
      </c>
      <c r="S4" s="35">
        <v>5750</v>
      </c>
      <c r="T4" s="35">
        <v>1250</v>
      </c>
      <c r="U4" s="35"/>
      <c r="V4" s="35"/>
      <c r="W4" s="36">
        <v>20000</v>
      </c>
    </row>
    <row r="5" spans="1:23" x14ac:dyDescent="0.35">
      <c r="A5">
        <v>1</v>
      </c>
      <c r="B5" s="35" t="s">
        <v>2</v>
      </c>
      <c r="C5" s="2">
        <v>46087</v>
      </c>
      <c r="D5">
        <v>11</v>
      </c>
      <c r="E5" s="1">
        <v>55</v>
      </c>
      <c r="F5" s="35">
        <v>2750</v>
      </c>
      <c r="K5" s="10">
        <v>46045</v>
      </c>
      <c r="L5" s="35">
        <v>1250</v>
      </c>
      <c r="M5" s="35"/>
      <c r="N5" s="35">
        <v>3250</v>
      </c>
      <c r="O5" s="35"/>
      <c r="P5" s="35">
        <v>0</v>
      </c>
      <c r="Q5" s="35">
        <v>3000</v>
      </c>
      <c r="R5" s="35">
        <v>2250</v>
      </c>
      <c r="S5" s="35">
        <v>2500</v>
      </c>
      <c r="T5" s="35"/>
      <c r="U5" s="35"/>
      <c r="V5" s="35">
        <v>5250</v>
      </c>
      <c r="W5" s="36">
        <v>17500</v>
      </c>
    </row>
    <row r="6" spans="1:23" x14ac:dyDescent="0.35">
      <c r="A6">
        <v>1</v>
      </c>
      <c r="B6" s="35" t="s">
        <v>2</v>
      </c>
      <c r="C6" s="2">
        <v>46045</v>
      </c>
      <c r="D6">
        <v>9</v>
      </c>
      <c r="E6" s="1">
        <v>45</v>
      </c>
      <c r="F6" s="35">
        <v>2250</v>
      </c>
      <c r="K6" s="10">
        <v>46066</v>
      </c>
      <c r="L6" s="35">
        <v>4000</v>
      </c>
      <c r="M6" s="35"/>
      <c r="N6" s="35">
        <v>1250</v>
      </c>
      <c r="O6" s="35"/>
      <c r="P6" s="35">
        <v>4250</v>
      </c>
      <c r="Q6" s="35">
        <v>2500</v>
      </c>
      <c r="R6" s="35">
        <v>500</v>
      </c>
      <c r="S6" s="35">
        <v>1750</v>
      </c>
      <c r="T6" s="35"/>
      <c r="U6" s="35"/>
      <c r="V6" s="35">
        <v>3250</v>
      </c>
      <c r="W6" s="36">
        <v>17500</v>
      </c>
    </row>
    <row r="7" spans="1:23" x14ac:dyDescent="0.35">
      <c r="A7">
        <v>1</v>
      </c>
      <c r="B7" s="35" t="s">
        <v>2</v>
      </c>
      <c r="C7" s="2">
        <v>46164</v>
      </c>
      <c r="D7">
        <v>14</v>
      </c>
      <c r="E7" s="1">
        <v>35</v>
      </c>
      <c r="F7" s="35">
        <v>1750</v>
      </c>
      <c r="K7" s="10">
        <v>46087</v>
      </c>
      <c r="L7" s="35">
        <v>2000</v>
      </c>
      <c r="M7" s="35">
        <v>2750</v>
      </c>
      <c r="N7" s="35">
        <v>3500</v>
      </c>
      <c r="O7" s="35"/>
      <c r="P7" s="35">
        <v>3000</v>
      </c>
      <c r="Q7" s="35">
        <v>4500</v>
      </c>
      <c r="R7" s="35">
        <v>2750</v>
      </c>
      <c r="S7" s="35">
        <v>1500</v>
      </c>
      <c r="T7" s="35">
        <v>0</v>
      </c>
      <c r="U7" s="35"/>
      <c r="V7" s="35"/>
      <c r="W7" s="36">
        <v>20000</v>
      </c>
    </row>
    <row r="8" spans="1:23" x14ac:dyDescent="0.35">
      <c r="A8">
        <v>1</v>
      </c>
      <c r="B8" s="35" t="s">
        <v>2</v>
      </c>
      <c r="C8" s="2">
        <v>46185</v>
      </c>
      <c r="D8">
        <v>15</v>
      </c>
      <c r="E8" s="1">
        <v>30</v>
      </c>
      <c r="F8" s="35">
        <v>1500</v>
      </c>
      <c r="K8" s="10">
        <v>46115</v>
      </c>
      <c r="L8" s="35">
        <v>2500</v>
      </c>
      <c r="M8" s="35">
        <v>2500</v>
      </c>
      <c r="N8" s="35">
        <v>3500</v>
      </c>
      <c r="O8" s="35"/>
      <c r="P8" s="35">
        <v>6250</v>
      </c>
      <c r="Q8" s="35"/>
      <c r="R8" s="35">
        <v>3250</v>
      </c>
      <c r="S8" s="35">
        <v>2250</v>
      </c>
      <c r="T8" s="35"/>
      <c r="U8" s="35">
        <v>0</v>
      </c>
      <c r="V8" s="35">
        <v>0</v>
      </c>
      <c r="W8" s="36">
        <v>20250</v>
      </c>
    </row>
    <row r="9" spans="1:23" x14ac:dyDescent="0.35">
      <c r="A9">
        <v>1</v>
      </c>
      <c r="B9" s="35" t="s">
        <v>2</v>
      </c>
      <c r="C9" s="2">
        <v>46066</v>
      </c>
      <c r="D9">
        <v>10</v>
      </c>
      <c r="E9" s="1">
        <v>10</v>
      </c>
      <c r="F9" s="35">
        <v>500</v>
      </c>
      <c r="K9" s="10">
        <v>46136</v>
      </c>
      <c r="L9" s="35">
        <v>3250</v>
      </c>
      <c r="M9" s="35">
        <v>2750</v>
      </c>
      <c r="N9" s="35"/>
      <c r="O9" s="35"/>
      <c r="P9" s="35">
        <v>4250</v>
      </c>
      <c r="Q9" s="35">
        <v>0</v>
      </c>
      <c r="R9" s="35">
        <v>5000</v>
      </c>
      <c r="S9" s="35"/>
      <c r="T9" s="35">
        <v>0</v>
      </c>
      <c r="U9" s="35">
        <v>2250</v>
      </c>
      <c r="V9" s="35"/>
      <c r="W9" s="36">
        <v>17500</v>
      </c>
    </row>
    <row r="10" spans="1:23" x14ac:dyDescent="0.35">
      <c r="A10">
        <v>1</v>
      </c>
      <c r="B10" s="35" t="s">
        <v>2</v>
      </c>
      <c r="C10" s="2">
        <v>46024</v>
      </c>
      <c r="D10">
        <v>8</v>
      </c>
      <c r="E10" s="1">
        <v>0</v>
      </c>
      <c r="F10" s="35">
        <v>0</v>
      </c>
      <c r="K10" s="10">
        <v>46164</v>
      </c>
      <c r="L10" s="35">
        <v>4000</v>
      </c>
      <c r="M10" s="35">
        <v>0</v>
      </c>
      <c r="N10" s="35"/>
      <c r="O10" s="35"/>
      <c r="P10" s="35">
        <v>0</v>
      </c>
      <c r="Q10" s="35"/>
      <c r="R10" s="35">
        <v>1750</v>
      </c>
      <c r="S10" s="35">
        <v>8000</v>
      </c>
      <c r="T10" s="35">
        <v>500</v>
      </c>
      <c r="U10" s="35">
        <v>3250</v>
      </c>
      <c r="V10" s="35"/>
      <c r="W10" s="36">
        <v>17500</v>
      </c>
    </row>
    <row r="11" spans="1:23" x14ac:dyDescent="0.35">
      <c r="A11">
        <v>2</v>
      </c>
      <c r="B11" s="35" t="s">
        <v>3</v>
      </c>
      <c r="C11" s="2">
        <v>46185</v>
      </c>
      <c r="D11">
        <v>15</v>
      </c>
      <c r="E11" s="1">
        <v>90</v>
      </c>
      <c r="F11" s="35">
        <v>4500</v>
      </c>
      <c r="K11" s="10">
        <v>46185</v>
      </c>
      <c r="L11" s="35">
        <v>0</v>
      </c>
      <c r="M11" s="35">
        <v>1500</v>
      </c>
      <c r="N11" s="35">
        <v>4500</v>
      </c>
      <c r="O11" s="35">
        <v>4000</v>
      </c>
      <c r="P11" s="35">
        <v>6000</v>
      </c>
      <c r="Q11" s="35"/>
      <c r="R11" s="35">
        <v>1500</v>
      </c>
      <c r="S11" s="35">
        <v>0</v>
      </c>
      <c r="T11" s="35"/>
      <c r="U11" s="35"/>
      <c r="V11" s="35"/>
      <c r="W11" s="36">
        <v>17500</v>
      </c>
    </row>
    <row r="12" spans="1:23" x14ac:dyDescent="0.35">
      <c r="A12">
        <v>2</v>
      </c>
      <c r="B12" s="35" t="s">
        <v>3</v>
      </c>
      <c r="C12" s="2">
        <v>46220</v>
      </c>
      <c r="D12">
        <v>16</v>
      </c>
      <c r="E12" s="1">
        <v>70</v>
      </c>
      <c r="F12" s="35">
        <v>3500</v>
      </c>
      <c r="K12" s="10">
        <v>46220</v>
      </c>
      <c r="L12" s="35">
        <v>0</v>
      </c>
      <c r="M12" s="35"/>
      <c r="N12" s="35">
        <v>3500</v>
      </c>
      <c r="O12" s="35"/>
      <c r="P12" s="35">
        <v>1250</v>
      </c>
      <c r="Q12" s="35"/>
      <c r="R12" s="35">
        <v>4750</v>
      </c>
      <c r="S12" s="35">
        <v>250</v>
      </c>
      <c r="T12" s="35"/>
      <c r="U12" s="35"/>
      <c r="V12" s="35">
        <v>5250</v>
      </c>
      <c r="W12" s="36">
        <v>15000</v>
      </c>
    </row>
    <row r="13" spans="1:23" x14ac:dyDescent="0.35">
      <c r="A13">
        <v>2</v>
      </c>
      <c r="B13" s="35" t="s">
        <v>3</v>
      </c>
      <c r="C13" s="2">
        <v>46087</v>
      </c>
      <c r="D13">
        <v>11</v>
      </c>
      <c r="E13" s="1">
        <v>70</v>
      </c>
      <c r="F13" s="35">
        <v>3500</v>
      </c>
      <c r="K13" s="9" t="s">
        <v>18</v>
      </c>
      <c r="L13" s="35">
        <v>18250</v>
      </c>
      <c r="M13" s="35">
        <v>12000</v>
      </c>
      <c r="N13" s="35">
        <v>21750</v>
      </c>
      <c r="O13" s="35">
        <v>4000</v>
      </c>
      <c r="P13" s="35">
        <v>32000</v>
      </c>
      <c r="Q13" s="35">
        <v>10000</v>
      </c>
      <c r="R13" s="35">
        <v>21750</v>
      </c>
      <c r="S13" s="35">
        <v>22000</v>
      </c>
      <c r="T13" s="35">
        <v>1750</v>
      </c>
      <c r="U13" s="35">
        <v>5500</v>
      </c>
      <c r="V13" s="35">
        <v>13750</v>
      </c>
      <c r="W13" s="35">
        <v>162750</v>
      </c>
    </row>
    <row r="14" spans="1:23" x14ac:dyDescent="0.35">
      <c r="A14">
        <v>2</v>
      </c>
      <c r="B14" s="35" t="s">
        <v>3</v>
      </c>
      <c r="C14" s="2">
        <v>46115</v>
      </c>
      <c r="D14">
        <v>12</v>
      </c>
      <c r="E14" s="1">
        <v>70</v>
      </c>
      <c r="F14" s="35">
        <v>3500</v>
      </c>
    </row>
    <row r="15" spans="1:23" x14ac:dyDescent="0.35">
      <c r="A15">
        <v>2</v>
      </c>
      <c r="B15" s="35" t="s">
        <v>3</v>
      </c>
      <c r="C15" s="2">
        <v>46045</v>
      </c>
      <c r="D15">
        <v>9</v>
      </c>
      <c r="E15" s="1">
        <v>65</v>
      </c>
      <c r="F15" s="35">
        <v>3250</v>
      </c>
    </row>
    <row r="16" spans="1:23" x14ac:dyDescent="0.35">
      <c r="A16">
        <v>2</v>
      </c>
      <c r="B16" s="35" t="s">
        <v>3</v>
      </c>
      <c r="C16" s="2">
        <v>46024</v>
      </c>
      <c r="D16">
        <v>8</v>
      </c>
      <c r="E16" s="1">
        <v>45</v>
      </c>
      <c r="F16" s="35">
        <v>2250</v>
      </c>
    </row>
    <row r="17" spans="1:6" x14ac:dyDescent="0.35">
      <c r="A17">
        <v>2</v>
      </c>
      <c r="B17" s="35" t="s">
        <v>3</v>
      </c>
      <c r="C17" s="2">
        <v>46066</v>
      </c>
      <c r="D17">
        <v>10</v>
      </c>
      <c r="E17" s="1">
        <v>25</v>
      </c>
      <c r="F17" s="35">
        <v>1250</v>
      </c>
    </row>
    <row r="18" spans="1:6" x14ac:dyDescent="0.35">
      <c r="A18">
        <v>3</v>
      </c>
      <c r="B18" s="35" t="s">
        <v>4</v>
      </c>
      <c r="C18" s="2">
        <v>46066</v>
      </c>
      <c r="D18">
        <v>10</v>
      </c>
      <c r="E18" s="1">
        <v>80</v>
      </c>
      <c r="F18" s="35">
        <v>4000</v>
      </c>
    </row>
    <row r="19" spans="1:6" x14ac:dyDescent="0.35">
      <c r="A19">
        <v>3</v>
      </c>
      <c r="B19" s="35" t="s">
        <v>4</v>
      </c>
      <c r="C19" s="2">
        <v>46164</v>
      </c>
      <c r="D19">
        <v>14</v>
      </c>
      <c r="E19" s="1">
        <v>80</v>
      </c>
      <c r="F19" s="35">
        <v>4000</v>
      </c>
    </row>
    <row r="20" spans="1:6" x14ac:dyDescent="0.35">
      <c r="A20">
        <v>3</v>
      </c>
      <c r="B20" s="35" t="s">
        <v>4</v>
      </c>
      <c r="C20" s="2">
        <v>46136</v>
      </c>
      <c r="D20">
        <v>13</v>
      </c>
      <c r="E20" s="1">
        <v>65</v>
      </c>
      <c r="F20" s="35">
        <v>3250</v>
      </c>
    </row>
    <row r="21" spans="1:6" x14ac:dyDescent="0.35">
      <c r="A21">
        <v>3</v>
      </c>
      <c r="B21" s="35" t="s">
        <v>4</v>
      </c>
      <c r="C21" s="2">
        <v>46115</v>
      </c>
      <c r="D21">
        <v>12</v>
      </c>
      <c r="E21" s="1">
        <v>50</v>
      </c>
      <c r="F21" s="35">
        <v>2500</v>
      </c>
    </row>
    <row r="22" spans="1:6" x14ac:dyDescent="0.35">
      <c r="A22">
        <v>3</v>
      </c>
      <c r="B22" s="35" t="s">
        <v>4</v>
      </c>
      <c r="C22" s="2">
        <v>46087</v>
      </c>
      <c r="D22">
        <v>11</v>
      </c>
      <c r="E22" s="1">
        <v>40</v>
      </c>
      <c r="F22" s="35">
        <v>2000</v>
      </c>
    </row>
    <row r="23" spans="1:6" x14ac:dyDescent="0.35">
      <c r="A23">
        <v>3</v>
      </c>
      <c r="B23" s="35" t="s">
        <v>4</v>
      </c>
      <c r="C23" s="2">
        <v>46045</v>
      </c>
      <c r="D23">
        <v>9</v>
      </c>
      <c r="E23" s="1">
        <v>25</v>
      </c>
      <c r="F23" s="35">
        <v>1250</v>
      </c>
    </row>
    <row r="24" spans="1:6" x14ac:dyDescent="0.35">
      <c r="A24">
        <v>3</v>
      </c>
      <c r="B24" s="35" t="s">
        <v>4</v>
      </c>
      <c r="C24" s="2">
        <v>46024</v>
      </c>
      <c r="D24">
        <v>8</v>
      </c>
      <c r="E24" s="1">
        <v>25</v>
      </c>
      <c r="F24" s="35">
        <v>1250</v>
      </c>
    </row>
    <row r="25" spans="1:6" x14ac:dyDescent="0.35">
      <c r="A25">
        <v>3</v>
      </c>
      <c r="B25" s="35" t="s">
        <v>4</v>
      </c>
      <c r="C25" s="2">
        <v>46220</v>
      </c>
      <c r="D25">
        <v>16</v>
      </c>
      <c r="E25" s="1">
        <v>0</v>
      </c>
      <c r="F25" s="35">
        <v>0</v>
      </c>
    </row>
    <row r="26" spans="1:6" x14ac:dyDescent="0.35">
      <c r="A26">
        <v>3</v>
      </c>
      <c r="B26" s="35" t="s">
        <v>4</v>
      </c>
      <c r="C26" s="2">
        <v>46185</v>
      </c>
      <c r="D26">
        <v>15</v>
      </c>
      <c r="E26" s="1">
        <v>0</v>
      </c>
      <c r="F26" s="35">
        <v>0</v>
      </c>
    </row>
    <row r="27" spans="1:6" x14ac:dyDescent="0.35">
      <c r="A27">
        <v>4</v>
      </c>
      <c r="B27" s="35" t="s">
        <v>5</v>
      </c>
      <c r="C27" s="2">
        <v>46164</v>
      </c>
      <c r="D27">
        <v>14</v>
      </c>
      <c r="E27" s="1">
        <v>65</v>
      </c>
      <c r="F27" s="35">
        <v>3250</v>
      </c>
    </row>
    <row r="28" spans="1:6" x14ac:dyDescent="0.35">
      <c r="A28">
        <v>4</v>
      </c>
      <c r="B28" s="35" t="s">
        <v>5</v>
      </c>
      <c r="C28" s="2">
        <v>46136</v>
      </c>
      <c r="D28">
        <v>13</v>
      </c>
      <c r="E28" s="1">
        <v>45</v>
      </c>
      <c r="F28" s="35">
        <v>2250</v>
      </c>
    </row>
    <row r="29" spans="1:6" x14ac:dyDescent="0.35">
      <c r="A29">
        <v>4</v>
      </c>
      <c r="B29" s="35" t="s">
        <v>5</v>
      </c>
      <c r="C29" s="2">
        <v>46115</v>
      </c>
      <c r="D29">
        <v>12</v>
      </c>
      <c r="E29" s="1">
        <v>0</v>
      </c>
      <c r="F29" s="35">
        <v>0</v>
      </c>
    </row>
    <row r="30" spans="1:6" x14ac:dyDescent="0.35">
      <c r="A30">
        <v>5</v>
      </c>
      <c r="B30" s="35" t="s">
        <v>6</v>
      </c>
      <c r="C30" s="2">
        <v>46164</v>
      </c>
      <c r="D30">
        <v>14</v>
      </c>
      <c r="E30" s="1">
        <v>160</v>
      </c>
      <c r="F30" s="35">
        <v>8000</v>
      </c>
    </row>
    <row r="31" spans="1:6" x14ac:dyDescent="0.35">
      <c r="A31">
        <v>5</v>
      </c>
      <c r="B31" s="35" t="s">
        <v>6</v>
      </c>
      <c r="C31" s="2">
        <v>46024</v>
      </c>
      <c r="D31">
        <v>8</v>
      </c>
      <c r="E31" s="1">
        <v>115</v>
      </c>
      <c r="F31" s="35">
        <v>5750</v>
      </c>
    </row>
    <row r="32" spans="1:6" x14ac:dyDescent="0.35">
      <c r="A32">
        <v>5</v>
      </c>
      <c r="B32" s="35" t="s">
        <v>6</v>
      </c>
      <c r="C32" s="2">
        <v>46045</v>
      </c>
      <c r="D32">
        <v>9</v>
      </c>
      <c r="E32" s="1">
        <v>50</v>
      </c>
      <c r="F32" s="35">
        <v>2500</v>
      </c>
    </row>
    <row r="33" spans="1:6" x14ac:dyDescent="0.35">
      <c r="A33">
        <v>5</v>
      </c>
      <c r="B33" s="35" t="s">
        <v>6</v>
      </c>
      <c r="C33" s="2">
        <v>46115</v>
      </c>
      <c r="D33">
        <v>12</v>
      </c>
      <c r="E33" s="1">
        <v>45</v>
      </c>
      <c r="F33" s="35">
        <v>2250</v>
      </c>
    </row>
    <row r="34" spans="1:6" x14ac:dyDescent="0.35">
      <c r="A34">
        <v>5</v>
      </c>
      <c r="B34" s="35" t="s">
        <v>6</v>
      </c>
      <c r="C34" s="2">
        <v>46066</v>
      </c>
      <c r="D34">
        <v>10</v>
      </c>
      <c r="E34" s="1">
        <v>35</v>
      </c>
      <c r="F34" s="35">
        <v>1750</v>
      </c>
    </row>
    <row r="35" spans="1:6" x14ac:dyDescent="0.35">
      <c r="A35">
        <v>5</v>
      </c>
      <c r="B35" s="35" t="s">
        <v>6</v>
      </c>
      <c r="C35" s="2">
        <v>46087</v>
      </c>
      <c r="D35">
        <v>11</v>
      </c>
      <c r="E35" s="1">
        <v>30</v>
      </c>
      <c r="F35" s="35">
        <v>1500</v>
      </c>
    </row>
    <row r="36" spans="1:6" x14ac:dyDescent="0.35">
      <c r="A36">
        <v>5</v>
      </c>
      <c r="B36" s="35" t="s">
        <v>6</v>
      </c>
      <c r="C36" s="2">
        <v>46220</v>
      </c>
      <c r="D36">
        <v>16</v>
      </c>
      <c r="E36" s="1">
        <v>5</v>
      </c>
      <c r="F36" s="35">
        <v>250</v>
      </c>
    </row>
    <row r="37" spans="1:6" x14ac:dyDescent="0.35">
      <c r="A37">
        <v>5</v>
      </c>
      <c r="B37" s="35" t="s">
        <v>6</v>
      </c>
      <c r="C37" s="2">
        <v>46185</v>
      </c>
      <c r="D37">
        <v>15</v>
      </c>
      <c r="E37" s="1">
        <v>0</v>
      </c>
      <c r="F37" s="35">
        <v>0</v>
      </c>
    </row>
    <row r="38" spans="1:6" x14ac:dyDescent="0.35">
      <c r="A38">
        <v>6</v>
      </c>
      <c r="B38" s="35" t="s">
        <v>7</v>
      </c>
      <c r="C38" s="2">
        <v>46024</v>
      </c>
      <c r="D38">
        <v>8</v>
      </c>
      <c r="E38" s="1">
        <v>140</v>
      </c>
      <c r="F38" s="35">
        <v>7000</v>
      </c>
    </row>
    <row r="39" spans="1:6" x14ac:dyDescent="0.35">
      <c r="A39">
        <v>6</v>
      </c>
      <c r="B39" s="35" t="s">
        <v>7</v>
      </c>
      <c r="C39" s="2">
        <v>46115</v>
      </c>
      <c r="D39">
        <v>12</v>
      </c>
      <c r="E39" s="1">
        <v>125</v>
      </c>
      <c r="F39" s="35">
        <v>6250</v>
      </c>
    </row>
    <row r="40" spans="1:6" x14ac:dyDescent="0.35">
      <c r="A40">
        <v>6</v>
      </c>
      <c r="B40" s="35" t="s">
        <v>7</v>
      </c>
      <c r="C40" s="2">
        <v>46185</v>
      </c>
      <c r="D40">
        <v>15</v>
      </c>
      <c r="E40" s="1">
        <v>120</v>
      </c>
      <c r="F40" s="35">
        <v>6000</v>
      </c>
    </row>
    <row r="41" spans="1:6" x14ac:dyDescent="0.35">
      <c r="A41">
        <v>6</v>
      </c>
      <c r="B41" s="35" t="s">
        <v>7</v>
      </c>
      <c r="C41" s="2">
        <v>46136</v>
      </c>
      <c r="D41">
        <v>13</v>
      </c>
      <c r="E41" s="1">
        <v>85</v>
      </c>
      <c r="F41" s="35">
        <v>4250</v>
      </c>
    </row>
    <row r="42" spans="1:6" x14ac:dyDescent="0.35">
      <c r="A42">
        <v>6</v>
      </c>
      <c r="B42" s="35" t="s">
        <v>7</v>
      </c>
      <c r="C42" s="2">
        <v>46066</v>
      </c>
      <c r="D42">
        <v>10</v>
      </c>
      <c r="E42" s="1">
        <v>85</v>
      </c>
      <c r="F42" s="35">
        <v>4250</v>
      </c>
    </row>
    <row r="43" spans="1:6" x14ac:dyDescent="0.35">
      <c r="A43">
        <v>6</v>
      </c>
      <c r="B43" s="35" t="s">
        <v>7</v>
      </c>
      <c r="C43" s="2">
        <v>46087</v>
      </c>
      <c r="D43">
        <v>11</v>
      </c>
      <c r="E43" s="1">
        <v>60</v>
      </c>
      <c r="F43" s="35">
        <v>3000</v>
      </c>
    </row>
    <row r="44" spans="1:6" x14ac:dyDescent="0.35">
      <c r="A44">
        <v>6</v>
      </c>
      <c r="B44" s="35" t="s">
        <v>7</v>
      </c>
      <c r="C44" s="2">
        <v>46220</v>
      </c>
      <c r="D44">
        <v>16</v>
      </c>
      <c r="E44" s="1">
        <v>25</v>
      </c>
      <c r="F44" s="35">
        <v>1250</v>
      </c>
    </row>
    <row r="45" spans="1:6" x14ac:dyDescent="0.35">
      <c r="A45">
        <v>6</v>
      </c>
      <c r="B45" s="35" t="s">
        <v>7</v>
      </c>
      <c r="C45" s="2">
        <v>46164</v>
      </c>
      <c r="D45">
        <v>14</v>
      </c>
      <c r="E45" s="1">
        <v>0</v>
      </c>
      <c r="F45" s="35">
        <v>0</v>
      </c>
    </row>
    <row r="46" spans="1:6" x14ac:dyDescent="0.35">
      <c r="A46">
        <v>6</v>
      </c>
      <c r="B46" s="35" t="s">
        <v>7</v>
      </c>
      <c r="C46" s="2">
        <v>46045</v>
      </c>
      <c r="D46">
        <v>9</v>
      </c>
      <c r="E46" s="1">
        <v>0</v>
      </c>
      <c r="F46" s="35">
        <v>0</v>
      </c>
    </row>
    <row r="47" spans="1:6" x14ac:dyDescent="0.35">
      <c r="A47">
        <v>7</v>
      </c>
      <c r="B47" s="35" t="s">
        <v>8</v>
      </c>
      <c r="C47" s="2">
        <v>46087</v>
      </c>
      <c r="D47">
        <v>11</v>
      </c>
      <c r="E47" s="1">
        <v>55</v>
      </c>
      <c r="F47" s="35">
        <v>2750</v>
      </c>
    </row>
    <row r="48" spans="1:6" x14ac:dyDescent="0.35">
      <c r="A48">
        <v>7</v>
      </c>
      <c r="B48" s="35" t="s">
        <v>8</v>
      </c>
      <c r="C48" s="2">
        <v>46136</v>
      </c>
      <c r="D48">
        <v>13</v>
      </c>
      <c r="E48" s="1">
        <v>55</v>
      </c>
      <c r="F48" s="35">
        <v>2750</v>
      </c>
    </row>
    <row r="49" spans="1:6" x14ac:dyDescent="0.35">
      <c r="A49">
        <v>7</v>
      </c>
      <c r="B49" s="35" t="s">
        <v>8</v>
      </c>
      <c r="C49" s="2">
        <v>46115</v>
      </c>
      <c r="D49">
        <v>12</v>
      </c>
      <c r="E49" s="1">
        <v>50</v>
      </c>
      <c r="F49" s="35">
        <v>2500</v>
      </c>
    </row>
    <row r="50" spans="1:6" x14ac:dyDescent="0.35">
      <c r="A50">
        <v>7</v>
      </c>
      <c r="B50" s="35" t="s">
        <v>8</v>
      </c>
      <c r="C50" s="2">
        <v>46024</v>
      </c>
      <c r="D50">
        <v>8</v>
      </c>
      <c r="E50" s="1">
        <v>50</v>
      </c>
      <c r="F50" s="35">
        <v>2500</v>
      </c>
    </row>
    <row r="51" spans="1:6" x14ac:dyDescent="0.35">
      <c r="A51">
        <v>7</v>
      </c>
      <c r="B51" s="35" t="s">
        <v>8</v>
      </c>
      <c r="C51" s="2">
        <v>46185</v>
      </c>
      <c r="D51">
        <v>15</v>
      </c>
      <c r="E51" s="1">
        <v>30</v>
      </c>
      <c r="F51" s="35">
        <v>1500</v>
      </c>
    </row>
    <row r="52" spans="1:6" x14ac:dyDescent="0.35">
      <c r="A52">
        <v>7</v>
      </c>
      <c r="B52" s="35" t="s">
        <v>8</v>
      </c>
      <c r="C52" s="2">
        <v>46164</v>
      </c>
      <c r="D52">
        <v>14</v>
      </c>
      <c r="E52" s="1">
        <v>0</v>
      </c>
      <c r="F52" s="35">
        <v>0</v>
      </c>
    </row>
    <row r="53" spans="1:6" x14ac:dyDescent="0.35">
      <c r="A53">
        <v>8</v>
      </c>
      <c r="B53" s="35" t="s">
        <v>9</v>
      </c>
      <c r="C53" s="2">
        <v>46220</v>
      </c>
      <c r="D53">
        <v>16</v>
      </c>
      <c r="E53" s="1">
        <v>105</v>
      </c>
      <c r="F53" s="35">
        <v>5250</v>
      </c>
    </row>
    <row r="54" spans="1:6" x14ac:dyDescent="0.35">
      <c r="A54">
        <v>8</v>
      </c>
      <c r="B54" s="35" t="s">
        <v>9</v>
      </c>
      <c r="C54" s="2">
        <v>46045</v>
      </c>
      <c r="D54">
        <v>9</v>
      </c>
      <c r="E54" s="1">
        <v>105</v>
      </c>
      <c r="F54" s="35">
        <v>5250</v>
      </c>
    </row>
    <row r="55" spans="1:6" x14ac:dyDescent="0.35">
      <c r="A55">
        <v>8</v>
      </c>
      <c r="B55" s="35" t="s">
        <v>9</v>
      </c>
      <c r="C55" s="2">
        <v>46066</v>
      </c>
      <c r="D55">
        <v>10</v>
      </c>
      <c r="E55" s="1">
        <v>65</v>
      </c>
      <c r="F55" s="35">
        <v>3250</v>
      </c>
    </row>
    <row r="56" spans="1:6" x14ac:dyDescent="0.35">
      <c r="A56">
        <v>8</v>
      </c>
      <c r="B56" s="35" t="s">
        <v>9</v>
      </c>
      <c r="C56" s="2">
        <v>46115</v>
      </c>
      <c r="D56">
        <v>12</v>
      </c>
      <c r="E56" s="1">
        <v>0</v>
      </c>
      <c r="F56" s="35">
        <v>0</v>
      </c>
    </row>
    <row r="57" spans="1:6" x14ac:dyDescent="0.35">
      <c r="A57">
        <v>11</v>
      </c>
      <c r="B57" s="35" t="s">
        <v>12</v>
      </c>
      <c r="C57" s="2">
        <v>46087</v>
      </c>
      <c r="D57">
        <v>11</v>
      </c>
      <c r="E57" s="1">
        <v>90</v>
      </c>
      <c r="F57" s="35">
        <v>4500</v>
      </c>
    </row>
    <row r="58" spans="1:6" x14ac:dyDescent="0.35">
      <c r="A58">
        <v>11</v>
      </c>
      <c r="B58" s="35" t="s">
        <v>12</v>
      </c>
      <c r="C58" s="2">
        <v>46045</v>
      </c>
      <c r="D58">
        <v>9</v>
      </c>
      <c r="E58" s="1">
        <v>60</v>
      </c>
      <c r="F58" s="35">
        <v>3000</v>
      </c>
    </row>
    <row r="59" spans="1:6" x14ac:dyDescent="0.35">
      <c r="A59">
        <v>11</v>
      </c>
      <c r="B59" s="35" t="s">
        <v>12</v>
      </c>
      <c r="C59" s="2">
        <v>46066</v>
      </c>
      <c r="D59">
        <v>10</v>
      </c>
      <c r="E59" s="1">
        <v>50</v>
      </c>
      <c r="F59" s="35">
        <v>2500</v>
      </c>
    </row>
    <row r="60" spans="1:6" x14ac:dyDescent="0.35">
      <c r="A60">
        <v>11</v>
      </c>
      <c r="B60" s="35" t="s">
        <v>12</v>
      </c>
      <c r="C60" s="2">
        <v>46024</v>
      </c>
      <c r="D60">
        <v>8</v>
      </c>
      <c r="E60" s="1">
        <v>0</v>
      </c>
      <c r="F60" s="35">
        <v>0</v>
      </c>
    </row>
    <row r="61" spans="1:6" x14ac:dyDescent="0.35">
      <c r="A61">
        <v>11</v>
      </c>
      <c r="B61" s="35" t="s">
        <v>12</v>
      </c>
      <c r="C61" s="2">
        <v>46136</v>
      </c>
      <c r="D61">
        <v>13</v>
      </c>
      <c r="E61" s="1">
        <v>0</v>
      </c>
      <c r="F61" s="35">
        <v>0</v>
      </c>
    </row>
    <row r="62" spans="1:6" x14ac:dyDescent="0.35">
      <c r="A62">
        <v>12</v>
      </c>
      <c r="B62" s="35" t="s">
        <v>19</v>
      </c>
      <c r="C62" s="2">
        <v>46024</v>
      </c>
      <c r="D62">
        <v>8</v>
      </c>
      <c r="E62" s="1">
        <v>25</v>
      </c>
      <c r="F62" s="35">
        <v>1250</v>
      </c>
    </row>
    <row r="63" spans="1:6" x14ac:dyDescent="0.35">
      <c r="A63">
        <v>12</v>
      </c>
      <c r="B63" s="35" t="s">
        <v>19</v>
      </c>
      <c r="C63" s="2">
        <v>46164</v>
      </c>
      <c r="D63">
        <v>14</v>
      </c>
      <c r="E63" s="1">
        <v>10</v>
      </c>
      <c r="F63" s="35">
        <v>500</v>
      </c>
    </row>
    <row r="64" spans="1:6" x14ac:dyDescent="0.35">
      <c r="A64">
        <v>12</v>
      </c>
      <c r="B64" s="35" t="s">
        <v>19</v>
      </c>
      <c r="C64" s="2">
        <v>46136</v>
      </c>
      <c r="D64">
        <v>13</v>
      </c>
      <c r="E64" s="1">
        <v>0</v>
      </c>
      <c r="F64" s="35">
        <v>0</v>
      </c>
    </row>
    <row r="65" spans="1:6" x14ac:dyDescent="0.35">
      <c r="A65">
        <v>12</v>
      </c>
      <c r="B65" s="35" t="s">
        <v>19</v>
      </c>
      <c r="C65" s="2">
        <v>46087</v>
      </c>
      <c r="D65">
        <v>11</v>
      </c>
      <c r="E65" s="1">
        <v>0</v>
      </c>
      <c r="F65" s="35">
        <v>0</v>
      </c>
    </row>
    <row r="66" spans="1:6" x14ac:dyDescent="0.35">
      <c r="A66">
        <v>13</v>
      </c>
      <c r="B66" s="35" t="s">
        <v>78</v>
      </c>
      <c r="C66" s="2">
        <v>46185</v>
      </c>
      <c r="D66">
        <v>15</v>
      </c>
      <c r="E66" s="1">
        <v>80</v>
      </c>
      <c r="F66" s="35">
        <v>4000</v>
      </c>
    </row>
    <row r="67" spans="1:6" x14ac:dyDescent="0.35">
      <c r="A67" t="s">
        <v>20</v>
      </c>
      <c r="D67">
        <f>SUBTOTAL(103,List_of_Cashouts_per_player_for_2026[Game_No])</f>
        <v>65</v>
      </c>
      <c r="E67" s="1">
        <f>SUBTOTAL(109,List_of_Cashouts_per_player_for_2026[CashOut])</f>
        <v>3255</v>
      </c>
      <c r="F67">
        <f>SUBTOTAL(109,List_of_Cashouts_per_player_for_2026[League Points])</f>
        <v>162750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6401-C733-4C5F-9433-48D63754AB31}">
  <dimension ref="A1:B14"/>
  <sheetViews>
    <sheetView workbookViewId="0">
      <selection sqref="A1:B14"/>
    </sheetView>
  </sheetViews>
  <sheetFormatPr defaultRowHeight="14.5" x14ac:dyDescent="0.35"/>
  <cols>
    <col min="1" max="1" width="11.36328125" bestFit="1" customWidth="1"/>
    <col min="2" max="2" width="16.36328125" bestFit="1" customWidth="1"/>
  </cols>
  <sheetData>
    <row r="1" spans="1:2" x14ac:dyDescent="0.35">
      <c r="A1" t="s">
        <v>22</v>
      </c>
      <c r="B1" t="s">
        <v>35</v>
      </c>
    </row>
    <row r="2" spans="1:2" x14ac:dyDescent="0.35">
      <c r="A2">
        <v>1</v>
      </c>
      <c r="B2" t="s">
        <v>2</v>
      </c>
    </row>
    <row r="3" spans="1:2" x14ac:dyDescent="0.35">
      <c r="A3">
        <v>2</v>
      </c>
      <c r="B3" t="s">
        <v>3</v>
      </c>
    </row>
    <row r="4" spans="1:2" x14ac:dyDescent="0.35">
      <c r="A4">
        <v>3</v>
      </c>
      <c r="B4" t="s">
        <v>4</v>
      </c>
    </row>
    <row r="5" spans="1:2" x14ac:dyDescent="0.35">
      <c r="A5">
        <v>4</v>
      </c>
      <c r="B5" t="s">
        <v>5</v>
      </c>
    </row>
    <row r="6" spans="1:2" x14ac:dyDescent="0.35">
      <c r="A6">
        <v>5</v>
      </c>
      <c r="B6" t="s">
        <v>6</v>
      </c>
    </row>
    <row r="7" spans="1:2" x14ac:dyDescent="0.35">
      <c r="A7">
        <v>6</v>
      </c>
      <c r="B7" t="s">
        <v>7</v>
      </c>
    </row>
    <row r="8" spans="1:2" x14ac:dyDescent="0.35">
      <c r="A8">
        <v>7</v>
      </c>
      <c r="B8" t="s">
        <v>8</v>
      </c>
    </row>
    <row r="9" spans="1:2" x14ac:dyDescent="0.35">
      <c r="A9">
        <v>8</v>
      </c>
      <c r="B9" t="s">
        <v>9</v>
      </c>
    </row>
    <row r="10" spans="1:2" x14ac:dyDescent="0.35">
      <c r="A10">
        <v>9</v>
      </c>
      <c r="B10" t="s">
        <v>10</v>
      </c>
    </row>
    <row r="11" spans="1:2" x14ac:dyDescent="0.35">
      <c r="A11">
        <v>10</v>
      </c>
      <c r="B11" t="s">
        <v>11</v>
      </c>
    </row>
    <row r="12" spans="1:2" x14ac:dyDescent="0.35">
      <c r="A12">
        <v>11</v>
      </c>
      <c r="B12" t="s">
        <v>12</v>
      </c>
    </row>
    <row r="13" spans="1:2" x14ac:dyDescent="0.35">
      <c r="A13">
        <v>12</v>
      </c>
      <c r="B13" t="s">
        <v>19</v>
      </c>
    </row>
    <row r="14" spans="1:2" x14ac:dyDescent="0.35">
      <c r="A14">
        <v>13</v>
      </c>
      <c r="B14" t="s">
        <v>78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12B4A-884D-4835-BA66-D198CC88A675}">
  <dimension ref="A1:G115"/>
  <sheetViews>
    <sheetView workbookViewId="0">
      <selection activeCell="AC39" sqref="AC39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7.81640625" bestFit="1" customWidth="1"/>
    <col min="4" max="4" width="8.36328125" bestFit="1" customWidth="1"/>
    <col min="5" max="5" width="10.36328125" bestFit="1" customWidth="1"/>
    <col min="6" max="6" width="7.36328125" bestFit="1" customWidth="1"/>
    <col min="7" max="7" width="16.36328125" bestFit="1" customWidth="1"/>
  </cols>
  <sheetData>
    <row r="1" spans="1:7" x14ac:dyDescent="0.3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33</v>
      </c>
      <c r="G1" t="s">
        <v>80</v>
      </c>
    </row>
    <row r="2" spans="1:7" x14ac:dyDescent="0.3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f>qry_Player_Game_Stats[[#This Row],[CashOut]]-(qry_Player_Game_Stats[[#This Row],[BuyIn]]+qry_Player_Game_Stats[[#This Row],[Rebuy]])</f>
        <v>0</v>
      </c>
      <c r="G2" s="1" t="str">
        <f>_xlfn.XLOOKUP(qry_Player_Game_Stats[[#This Row],[Player_No]],qry_Players[Player_No],qry_Players[Player_Name])</f>
        <v>Martin Hunter</v>
      </c>
    </row>
    <row r="3" spans="1:7" x14ac:dyDescent="0.35">
      <c r="A3">
        <v>1</v>
      </c>
      <c r="B3">
        <v>2</v>
      </c>
      <c r="C3" s="1">
        <v>30</v>
      </c>
      <c r="D3" s="1">
        <v>0</v>
      </c>
      <c r="E3" s="1">
        <v>105</v>
      </c>
      <c r="F3" s="1">
        <f>qry_Player_Game_Stats[[#This Row],[CashOut]]-(qry_Player_Game_Stats[[#This Row],[BuyIn]]+qry_Player_Game_Stats[[#This Row],[Rebuy]])</f>
        <v>75</v>
      </c>
      <c r="G3" s="1" t="str">
        <f>_xlfn.XLOOKUP(qry_Player_Game_Stats[[#This Row],[Player_No]],qry_Players[Player_No],qry_Players[Player_Name])</f>
        <v>Ciaran Lynch</v>
      </c>
    </row>
    <row r="4" spans="1:7" x14ac:dyDescent="0.35">
      <c r="A4">
        <v>1</v>
      </c>
      <c r="B4">
        <v>3</v>
      </c>
      <c r="C4" s="1">
        <v>30</v>
      </c>
      <c r="D4" s="1">
        <v>20</v>
      </c>
      <c r="E4" s="1">
        <v>40</v>
      </c>
      <c r="F4" s="1">
        <f>qry_Player_Game_Stats[[#This Row],[CashOut]]-(qry_Player_Game_Stats[[#This Row],[BuyIn]]+qry_Player_Game_Stats[[#This Row],[Rebuy]])</f>
        <v>-10</v>
      </c>
      <c r="G4" s="1" t="str">
        <f>_xlfn.XLOOKUP(qry_Player_Game_Stats[[#This Row],[Player_No]],qry_Players[Player_No],qry_Players[Player_Name])</f>
        <v>Barry Hunter</v>
      </c>
    </row>
    <row r="5" spans="1:7" x14ac:dyDescent="0.35">
      <c r="A5">
        <v>1</v>
      </c>
      <c r="B5">
        <v>4</v>
      </c>
      <c r="C5" s="1">
        <v>30</v>
      </c>
      <c r="D5" s="1">
        <v>0</v>
      </c>
      <c r="E5" s="1">
        <v>20</v>
      </c>
      <c r="F5" s="1">
        <f>qry_Player_Game_Stats[[#This Row],[CashOut]]-(qry_Player_Game_Stats[[#This Row],[BuyIn]]+qry_Player_Game_Stats[[#This Row],[Rebuy]])</f>
        <v>-10</v>
      </c>
      <c r="G5" s="1" t="str">
        <f>_xlfn.XLOOKUP(qry_Player_Game_Stats[[#This Row],[Player_No]],qry_Players[Player_No],qry_Players[Player_Name])</f>
        <v>Seamus Diver</v>
      </c>
    </row>
    <row r="6" spans="1:7" x14ac:dyDescent="0.35">
      <c r="A6">
        <v>1</v>
      </c>
      <c r="B6">
        <v>5</v>
      </c>
      <c r="C6" s="1">
        <v>30</v>
      </c>
      <c r="D6" s="1">
        <v>20</v>
      </c>
      <c r="E6" s="1">
        <v>25</v>
      </c>
      <c r="F6" s="1">
        <f>qry_Player_Game_Stats[[#This Row],[CashOut]]-(qry_Player_Game_Stats[[#This Row],[BuyIn]]+qry_Player_Game_Stats[[#This Row],[Rebuy]])</f>
        <v>-25</v>
      </c>
      <c r="G6" s="1" t="str">
        <f>_xlfn.XLOOKUP(qry_Player_Game_Stats[[#This Row],[Player_No]],qry_Players[Player_No],qry_Players[Player_Name])</f>
        <v>Morgan Mooney</v>
      </c>
    </row>
    <row r="7" spans="1:7" x14ac:dyDescent="0.35">
      <c r="A7">
        <v>1</v>
      </c>
      <c r="B7">
        <v>6</v>
      </c>
      <c r="C7" s="1">
        <v>30</v>
      </c>
      <c r="D7" s="1">
        <v>0</v>
      </c>
      <c r="E7" s="1">
        <v>0</v>
      </c>
      <c r="F7" s="1">
        <f>qry_Player_Game_Stats[[#This Row],[CashOut]]-(qry_Player_Game_Stats[[#This Row],[BuyIn]]+qry_Player_Game_Stats[[#This Row],[Rebuy]])</f>
        <v>-30</v>
      </c>
      <c r="G7" s="1" t="str">
        <f>_xlfn.XLOOKUP(qry_Player_Game_Stats[[#This Row],[Player_No]],qry_Players[Player_No],qry_Players[Player_Name])</f>
        <v>Kevin Lee</v>
      </c>
    </row>
    <row r="8" spans="1:7" x14ac:dyDescent="0.35">
      <c r="A8">
        <v>2</v>
      </c>
      <c r="B8">
        <v>1</v>
      </c>
      <c r="C8" s="1">
        <v>30</v>
      </c>
      <c r="D8" s="1">
        <v>0</v>
      </c>
      <c r="E8" s="1">
        <v>25</v>
      </c>
      <c r="F8" s="1">
        <f>qry_Player_Game_Stats[[#This Row],[CashOut]]-(qry_Player_Game_Stats[[#This Row],[BuyIn]]+qry_Player_Game_Stats[[#This Row],[Rebuy]])</f>
        <v>-5</v>
      </c>
      <c r="G8" s="1" t="str">
        <f>_xlfn.XLOOKUP(qry_Player_Game_Stats[[#This Row],[Player_No]],qry_Players[Player_No],qry_Players[Player_Name])</f>
        <v>Martin Hunter</v>
      </c>
    </row>
    <row r="9" spans="1:7" x14ac:dyDescent="0.35">
      <c r="A9">
        <v>2</v>
      </c>
      <c r="B9">
        <v>2</v>
      </c>
      <c r="C9" s="1">
        <v>30</v>
      </c>
      <c r="D9" s="1">
        <v>0</v>
      </c>
      <c r="E9" s="1">
        <v>55</v>
      </c>
      <c r="F9" s="1">
        <f>qry_Player_Game_Stats[[#This Row],[CashOut]]-(qry_Player_Game_Stats[[#This Row],[BuyIn]]+qry_Player_Game_Stats[[#This Row],[Rebuy]])</f>
        <v>25</v>
      </c>
      <c r="G9" s="1" t="str">
        <f>_xlfn.XLOOKUP(qry_Player_Game_Stats[[#This Row],[Player_No]],qry_Players[Player_No],qry_Players[Player_Name])</f>
        <v>Ciaran Lynch</v>
      </c>
    </row>
    <row r="10" spans="1:7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  <c r="F10" s="1">
        <f>qry_Player_Game_Stats[[#This Row],[CashOut]]-(qry_Player_Game_Stats[[#This Row],[BuyIn]]+qry_Player_Game_Stats[[#This Row],[Rebuy]])</f>
        <v>-20</v>
      </c>
      <c r="G10" s="1" t="str">
        <f>_xlfn.XLOOKUP(qry_Player_Game_Stats[[#This Row],[Player_No]],qry_Players[Player_No],qry_Players[Player_Name])</f>
        <v>Barry Hunter</v>
      </c>
    </row>
    <row r="11" spans="1:7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  <c r="F11" s="1">
        <f>qry_Player_Game_Stats[[#This Row],[CashOut]]-(qry_Player_Game_Stats[[#This Row],[BuyIn]]+qry_Player_Game_Stats[[#This Row],[Rebuy]])</f>
        <v>-25</v>
      </c>
      <c r="G11" s="1" t="str">
        <f>_xlfn.XLOOKUP(qry_Player_Game_Stats[[#This Row],[Player_No]],qry_Players[Player_No],qry_Players[Player_Name])</f>
        <v>Seamus Diver</v>
      </c>
    </row>
    <row r="12" spans="1:7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  <c r="F12" s="1">
        <f>qry_Player_Game_Stats[[#This Row],[CashOut]]-(qry_Player_Game_Stats[[#This Row],[BuyIn]]+qry_Player_Game_Stats[[#This Row],[Rebuy]])</f>
        <v>-50</v>
      </c>
      <c r="G12" s="1" t="str">
        <f>_xlfn.XLOOKUP(qry_Player_Game_Stats[[#This Row],[Player_No]],qry_Players[Player_No],qry_Players[Player_Name])</f>
        <v>Morgan Mooney</v>
      </c>
    </row>
    <row r="13" spans="1:7" x14ac:dyDescent="0.3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f>qry_Player_Game_Stats[[#This Row],[CashOut]]-(qry_Player_Game_Stats[[#This Row],[BuyIn]]+qry_Player_Game_Stats[[#This Row],[Rebuy]])</f>
        <v>80</v>
      </c>
      <c r="G13" s="1" t="str">
        <f>_xlfn.XLOOKUP(qry_Player_Game_Stats[[#This Row],[Player_No]],qry_Players[Player_No],qry_Players[Player_Name])</f>
        <v>Kevin Lee</v>
      </c>
    </row>
    <row r="14" spans="1:7" x14ac:dyDescent="0.3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f>qry_Player_Game_Stats[[#This Row],[CashOut]]-(qry_Player_Game_Stats[[#This Row],[BuyIn]]+qry_Player_Game_Stats[[#This Row],[Rebuy]])</f>
        <v>30</v>
      </c>
      <c r="G14" s="1" t="str">
        <f>_xlfn.XLOOKUP(qry_Player_Game_Stats[[#This Row],[Player_No]],qry_Players[Player_No],qry_Players[Player_Name])</f>
        <v>Steven Black</v>
      </c>
    </row>
    <row r="15" spans="1:7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f>qry_Player_Game_Stats[[#This Row],[CashOut]]-(qry_Player_Game_Stats[[#This Row],[BuyIn]]+qry_Player_Game_Stats[[#This Row],[Rebuy]])</f>
        <v>-30</v>
      </c>
      <c r="G15" s="1" t="str">
        <f>_xlfn.XLOOKUP(qry_Player_Game_Stats[[#This Row],[Player_No]],qry_Players[Player_No],qry_Players[Player_Name])</f>
        <v>Mark Hunter</v>
      </c>
    </row>
    <row r="16" spans="1:7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f>qry_Player_Game_Stats[[#This Row],[CashOut]]-(qry_Player_Game_Stats[[#This Row],[BuyIn]]+qry_Player_Game_Stats[[#This Row],[Rebuy]])</f>
        <v>80</v>
      </c>
      <c r="G16" s="1" t="str">
        <f>_xlfn.XLOOKUP(qry_Player_Game_Stats[[#This Row],[Player_No]],qry_Players[Player_No],qry_Players[Player_Name])</f>
        <v>Martin Hunter</v>
      </c>
    </row>
    <row r="17" spans="1:7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f>qry_Player_Game_Stats[[#This Row],[CashOut]]-(qry_Player_Game_Stats[[#This Row],[BuyIn]]+qry_Player_Game_Stats[[#This Row],[Rebuy]])</f>
        <v>35</v>
      </c>
      <c r="G17" s="1" t="str">
        <f>_xlfn.XLOOKUP(qry_Player_Game_Stats[[#This Row],[Player_No]],qry_Players[Player_No],qry_Players[Player_Name])</f>
        <v>Barry Hunter</v>
      </c>
    </row>
    <row r="18" spans="1:7" x14ac:dyDescent="0.3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f>qry_Player_Game_Stats[[#This Row],[CashOut]]-(qry_Player_Game_Stats[[#This Row],[BuyIn]]+qry_Player_Game_Stats[[#This Row],[Rebuy]])</f>
        <v>-50</v>
      </c>
      <c r="G18" s="1" t="str">
        <f>_xlfn.XLOOKUP(qry_Player_Game_Stats[[#This Row],[Player_No]],qry_Players[Player_No],qry_Players[Player_Name])</f>
        <v>Seamus Diver</v>
      </c>
    </row>
    <row r="19" spans="1:7" x14ac:dyDescent="0.3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f>qry_Player_Game_Stats[[#This Row],[CashOut]]-(qry_Player_Game_Stats[[#This Row],[BuyIn]]+qry_Player_Game_Stats[[#This Row],[Rebuy]])</f>
        <v>-50</v>
      </c>
      <c r="G19" s="1" t="str">
        <f>_xlfn.XLOOKUP(qry_Player_Game_Stats[[#This Row],[Player_No]],qry_Players[Player_No],qry_Players[Player_Name])</f>
        <v>Morgan Mooney</v>
      </c>
    </row>
    <row r="20" spans="1:7" x14ac:dyDescent="0.3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f>qry_Player_Game_Stats[[#This Row],[CashOut]]-(qry_Player_Game_Stats[[#This Row],[BuyIn]]+qry_Player_Game_Stats[[#This Row],[Rebuy]])</f>
        <v>-30</v>
      </c>
      <c r="G20" s="1" t="str">
        <f>_xlfn.XLOOKUP(qry_Player_Game_Stats[[#This Row],[Player_No]],qry_Players[Player_No],qry_Players[Player_Name])</f>
        <v>Kevin Lee</v>
      </c>
    </row>
    <row r="21" spans="1:7" x14ac:dyDescent="0.3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f>qry_Player_Game_Stats[[#This Row],[CashOut]]-(qry_Player_Game_Stats[[#This Row],[BuyIn]]+qry_Player_Game_Stats[[#This Row],[Rebuy]])</f>
        <v>45</v>
      </c>
      <c r="G21" s="1" t="str">
        <f>_xlfn.XLOOKUP(qry_Player_Game_Stats[[#This Row],[Player_No]],qry_Players[Player_No],qry_Players[Player_Name])</f>
        <v>Brendan Stevenson</v>
      </c>
    </row>
    <row r="22" spans="1:7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f>qry_Player_Game_Stats[[#This Row],[CashOut]]-(qry_Player_Game_Stats[[#This Row],[BuyIn]]+qry_Player_Game_Stats[[#This Row],[Rebuy]])</f>
        <v>-60</v>
      </c>
      <c r="G22" s="1" t="str">
        <f>_xlfn.XLOOKUP(qry_Player_Game_Stats[[#This Row],[Player_No]],qry_Players[Player_No],qry_Players[Player_Name])</f>
        <v>Steven Black</v>
      </c>
    </row>
    <row r="23" spans="1:7" x14ac:dyDescent="0.3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f>qry_Player_Game_Stats[[#This Row],[CashOut]]-(qry_Player_Game_Stats[[#This Row],[BuyIn]]+qry_Player_Game_Stats[[#This Row],[Rebuy]])</f>
        <v>-30</v>
      </c>
      <c r="G23" s="1" t="str">
        <f>_xlfn.XLOOKUP(qry_Player_Game_Stats[[#This Row],[Player_No]],qry_Players[Player_No],qry_Players[Player_Name])</f>
        <v>Mark Hunter</v>
      </c>
    </row>
    <row r="24" spans="1:7" x14ac:dyDescent="0.3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f>qry_Player_Game_Stats[[#This Row],[CashOut]]-(qry_Player_Game_Stats[[#This Row],[BuyIn]]+qry_Player_Game_Stats[[#This Row],[Rebuy]])</f>
        <v>10</v>
      </c>
      <c r="G24" s="1" t="str">
        <f>_xlfn.XLOOKUP(qry_Player_Game_Stats[[#This Row],[Player_No]],qry_Players[Player_No],qry_Players[Player_Name])</f>
        <v>Martin Hunter</v>
      </c>
    </row>
    <row r="25" spans="1:7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f>qry_Player_Game_Stats[[#This Row],[CashOut]]-(qry_Player_Game_Stats[[#This Row],[BuyIn]]+qry_Player_Game_Stats[[#This Row],[Rebuy]])</f>
        <v>15</v>
      </c>
      <c r="G25" s="1" t="str">
        <f>_xlfn.XLOOKUP(qry_Player_Game_Stats[[#This Row],[Player_No]],qry_Players[Player_No],qry_Players[Player_Name])</f>
        <v>Barry Hunter</v>
      </c>
    </row>
    <row r="26" spans="1:7" x14ac:dyDescent="0.3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f>qry_Player_Game_Stats[[#This Row],[CashOut]]-(qry_Player_Game_Stats[[#This Row],[BuyIn]]+qry_Player_Game_Stats[[#This Row],[Rebuy]])</f>
        <v>-55</v>
      </c>
      <c r="G26" s="1" t="str">
        <f>_xlfn.XLOOKUP(qry_Player_Game_Stats[[#This Row],[Player_No]],qry_Players[Player_No],qry_Players[Player_Name])</f>
        <v>Morgan Mooney</v>
      </c>
    </row>
    <row r="27" spans="1:7" x14ac:dyDescent="0.3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f>qry_Player_Game_Stats[[#This Row],[CashOut]]-(qry_Player_Game_Stats[[#This Row],[BuyIn]]+qry_Player_Game_Stats[[#This Row],[Rebuy]])</f>
        <v>70</v>
      </c>
      <c r="G27" s="1" t="str">
        <f>_xlfn.XLOOKUP(qry_Player_Game_Stats[[#This Row],[Player_No]],qry_Players[Player_No],qry_Players[Player_Name])</f>
        <v>Kevin Lee</v>
      </c>
    </row>
    <row r="28" spans="1:7" x14ac:dyDescent="0.3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f>qry_Player_Game_Stats[[#This Row],[CashOut]]-(qry_Player_Game_Stats[[#This Row],[BuyIn]]+qry_Player_Game_Stats[[#This Row],[Rebuy]])</f>
        <v>15</v>
      </c>
      <c r="G28" s="1" t="str">
        <f>_xlfn.XLOOKUP(qry_Player_Game_Stats[[#This Row],[Player_No]],qry_Players[Player_No],qry_Players[Player_Name])</f>
        <v>Brendan Stevenson</v>
      </c>
    </row>
    <row r="29" spans="1:7" x14ac:dyDescent="0.3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f>qry_Player_Game_Stats[[#This Row],[CashOut]]-(qry_Player_Game_Stats[[#This Row],[BuyIn]]+qry_Player_Game_Stats[[#This Row],[Rebuy]])</f>
        <v>-70</v>
      </c>
      <c r="G29" s="1" t="str">
        <f>_xlfn.XLOOKUP(qry_Player_Game_Stats[[#This Row],[Player_No]],qry_Players[Player_No],qry_Players[Player_Name])</f>
        <v>Steven Black</v>
      </c>
    </row>
    <row r="30" spans="1:7" x14ac:dyDescent="0.3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f>qry_Player_Game_Stats[[#This Row],[CashOut]]-(qry_Player_Game_Stats[[#This Row],[BuyIn]]+qry_Player_Game_Stats[[#This Row],[Rebuy]])</f>
        <v>15</v>
      </c>
      <c r="G30" s="1" t="str">
        <f>_xlfn.XLOOKUP(qry_Player_Game_Stats[[#This Row],[Player_No]],qry_Players[Player_No],qry_Players[Player_Name])</f>
        <v>Mark Hunter</v>
      </c>
    </row>
    <row r="31" spans="1:7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f>qry_Player_Game_Stats[[#This Row],[CashOut]]-(qry_Player_Game_Stats[[#This Row],[BuyIn]]+qry_Player_Game_Stats[[#This Row],[Rebuy]])</f>
        <v>30</v>
      </c>
      <c r="G31" s="1" t="str">
        <f>_xlfn.XLOOKUP(qry_Player_Game_Stats[[#This Row],[Player_No]],qry_Players[Player_No],qry_Players[Player_Name])</f>
        <v>Martin Hunter</v>
      </c>
    </row>
    <row r="32" spans="1:7" x14ac:dyDescent="0.3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f>qry_Player_Game_Stats[[#This Row],[CashOut]]-(qry_Player_Game_Stats[[#This Row],[BuyIn]]+qry_Player_Game_Stats[[#This Row],[Rebuy]])</f>
        <v>-30</v>
      </c>
      <c r="G32" s="1" t="str">
        <f>_xlfn.XLOOKUP(qry_Player_Game_Stats[[#This Row],[Player_No]],qry_Players[Player_No],qry_Players[Player_Name])</f>
        <v>Barry Hunter</v>
      </c>
    </row>
    <row r="33" spans="1:7" x14ac:dyDescent="0.3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f>qry_Player_Game_Stats[[#This Row],[CashOut]]-(qry_Player_Game_Stats[[#This Row],[BuyIn]]+qry_Player_Game_Stats[[#This Row],[Rebuy]])</f>
        <v>70</v>
      </c>
      <c r="G33" s="1" t="str">
        <f>_xlfn.XLOOKUP(qry_Player_Game_Stats[[#This Row],[Player_No]],qry_Players[Player_No],qry_Players[Player_Name])</f>
        <v>Morgan Mooney</v>
      </c>
    </row>
    <row r="34" spans="1:7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f>qry_Player_Game_Stats[[#This Row],[CashOut]]-(qry_Player_Game_Stats[[#This Row],[BuyIn]]+qry_Player_Game_Stats[[#This Row],[Rebuy]])</f>
        <v>-70</v>
      </c>
      <c r="G34" s="1" t="str">
        <f>_xlfn.XLOOKUP(qry_Player_Game_Stats[[#This Row],[Player_No]],qry_Players[Player_No],qry_Players[Player_Name])</f>
        <v>Kevin Lee</v>
      </c>
    </row>
    <row r="35" spans="1:7" x14ac:dyDescent="0.3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f>qry_Player_Game_Stats[[#This Row],[CashOut]]-(qry_Player_Game_Stats[[#This Row],[BuyIn]]+qry_Player_Game_Stats[[#This Row],[Rebuy]])</f>
        <v>-20</v>
      </c>
      <c r="G35" s="1" t="str">
        <f>_xlfn.XLOOKUP(qry_Player_Game_Stats[[#This Row],[Player_No]],qry_Players[Player_No],qry_Players[Player_Name])</f>
        <v>Brendan Stevenson</v>
      </c>
    </row>
    <row r="36" spans="1:7" x14ac:dyDescent="0.3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f>qry_Player_Game_Stats[[#This Row],[CashOut]]-(qry_Player_Game_Stats[[#This Row],[BuyIn]]+qry_Player_Game_Stats[[#This Row],[Rebuy]])</f>
        <v>0</v>
      </c>
      <c r="G36" s="1" t="str">
        <f>_xlfn.XLOOKUP(qry_Player_Game_Stats[[#This Row],[Player_No]],qry_Players[Player_No],qry_Players[Player_Name])</f>
        <v>Steven Black</v>
      </c>
    </row>
    <row r="37" spans="1:7" x14ac:dyDescent="0.3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f>qry_Player_Game_Stats[[#This Row],[CashOut]]-(qry_Player_Game_Stats[[#This Row],[BuyIn]]+qry_Player_Game_Stats[[#This Row],[Rebuy]])</f>
        <v>20</v>
      </c>
      <c r="G37" s="1" t="str">
        <f>_xlfn.XLOOKUP(qry_Player_Game_Stats[[#This Row],[Player_No]],qry_Players[Player_No],qry_Players[Player_Name])</f>
        <v>Mark Hunter</v>
      </c>
    </row>
    <row r="38" spans="1:7" x14ac:dyDescent="0.3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f>qry_Player_Game_Stats[[#This Row],[CashOut]]-(qry_Player_Game_Stats[[#This Row],[BuyIn]]+qry_Player_Game_Stats[[#This Row],[Rebuy]])</f>
        <v>-5</v>
      </c>
      <c r="G38" s="1" t="str">
        <f>_xlfn.XLOOKUP(qry_Player_Game_Stats[[#This Row],[Player_No]],qry_Players[Player_No],qry_Players[Player_Name])</f>
        <v>Martin Hunter</v>
      </c>
    </row>
    <row r="39" spans="1:7" x14ac:dyDescent="0.3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f>qry_Player_Game_Stats[[#This Row],[CashOut]]-(qry_Player_Game_Stats[[#This Row],[BuyIn]]+qry_Player_Game_Stats[[#This Row],[Rebuy]])</f>
        <v>-35</v>
      </c>
      <c r="G39" s="1" t="str">
        <f>_xlfn.XLOOKUP(qry_Player_Game_Stats[[#This Row],[Player_No]],qry_Players[Player_No],qry_Players[Player_Name])</f>
        <v>Barry Hunter</v>
      </c>
    </row>
    <row r="40" spans="1:7" x14ac:dyDescent="0.3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f>qry_Player_Game_Stats[[#This Row],[CashOut]]-(qry_Player_Game_Stats[[#This Row],[BuyIn]]+qry_Player_Game_Stats[[#This Row],[Rebuy]])</f>
        <v>75</v>
      </c>
      <c r="G40" s="1" t="str">
        <f>_xlfn.XLOOKUP(qry_Player_Game_Stats[[#This Row],[Player_No]],qry_Players[Player_No],qry_Players[Player_Name])</f>
        <v>Seamus Diver</v>
      </c>
    </row>
    <row r="41" spans="1:7" x14ac:dyDescent="0.3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f>qry_Player_Game_Stats[[#This Row],[CashOut]]-(qry_Player_Game_Stats[[#This Row],[BuyIn]]+qry_Player_Game_Stats[[#This Row],[Rebuy]])</f>
        <v>-20</v>
      </c>
      <c r="G41" s="1" t="str">
        <f>_xlfn.XLOOKUP(qry_Player_Game_Stats[[#This Row],[Player_No]],qry_Players[Player_No],qry_Players[Player_Name])</f>
        <v>Morgan Mooney</v>
      </c>
    </row>
    <row r="42" spans="1:7" x14ac:dyDescent="0.3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f>qry_Player_Game_Stats[[#This Row],[CashOut]]-(qry_Player_Game_Stats[[#This Row],[BuyIn]]+qry_Player_Game_Stats[[#This Row],[Rebuy]])</f>
        <v>55</v>
      </c>
      <c r="G42" s="1" t="str">
        <f>_xlfn.XLOOKUP(qry_Player_Game_Stats[[#This Row],[Player_No]],qry_Players[Player_No],qry_Players[Player_Name])</f>
        <v>Kevin Lee</v>
      </c>
    </row>
    <row r="43" spans="1:7" x14ac:dyDescent="0.3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f>qry_Player_Game_Stats[[#This Row],[CashOut]]-(qry_Player_Game_Stats[[#This Row],[BuyIn]]+qry_Player_Game_Stats[[#This Row],[Rebuy]])</f>
        <v>-50</v>
      </c>
      <c r="G43" s="1" t="str">
        <f>_xlfn.XLOOKUP(qry_Player_Game_Stats[[#This Row],[Player_No]],qry_Players[Player_No],qry_Players[Player_Name])</f>
        <v>Brendan Stevenson</v>
      </c>
    </row>
    <row r="44" spans="1:7" x14ac:dyDescent="0.3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f>qry_Player_Game_Stats[[#This Row],[CashOut]]-(qry_Player_Game_Stats[[#This Row],[BuyIn]]+qry_Player_Game_Stats[[#This Row],[Rebuy]])</f>
        <v>-20</v>
      </c>
      <c r="G44" s="1" t="str">
        <f>_xlfn.XLOOKUP(qry_Player_Game_Stats[[#This Row],[Player_No]],qry_Players[Player_No],qry_Players[Player_Name])</f>
        <v>Mark Hunter</v>
      </c>
    </row>
    <row r="45" spans="1:7" x14ac:dyDescent="0.3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f>qry_Player_Game_Stats[[#This Row],[CashOut]]-(qry_Player_Game_Stats[[#This Row],[BuyIn]]+qry_Player_Game_Stats[[#This Row],[Rebuy]])</f>
        <v>15</v>
      </c>
      <c r="G45" s="1" t="str">
        <f>_xlfn.XLOOKUP(qry_Player_Game_Stats[[#This Row],[Player_No]],qry_Players[Player_No],qry_Players[Player_Name])</f>
        <v>Martin Hunter</v>
      </c>
    </row>
    <row r="46" spans="1:7" x14ac:dyDescent="0.3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f>qry_Player_Game_Stats[[#This Row],[CashOut]]-(qry_Player_Game_Stats[[#This Row],[BuyIn]]+qry_Player_Game_Stats[[#This Row],[Rebuy]])</f>
        <v>-30</v>
      </c>
      <c r="G46" s="1" t="str">
        <f>_xlfn.XLOOKUP(qry_Player_Game_Stats[[#This Row],[Player_No]],qry_Players[Player_No],qry_Players[Player_Name])</f>
        <v>Barry Hunter</v>
      </c>
    </row>
    <row r="47" spans="1:7" x14ac:dyDescent="0.3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f>qry_Player_Game_Stats[[#This Row],[CashOut]]-(qry_Player_Game_Stats[[#This Row],[BuyIn]]+qry_Player_Game_Stats[[#This Row],[Rebuy]])</f>
        <v>10</v>
      </c>
      <c r="G47" s="1" t="str">
        <f>_xlfn.XLOOKUP(qry_Player_Game_Stats[[#This Row],[Player_No]],qry_Players[Player_No],qry_Players[Player_Name])</f>
        <v>Morgan Mooney</v>
      </c>
    </row>
    <row r="48" spans="1:7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f>qry_Player_Game_Stats[[#This Row],[CashOut]]-(qry_Player_Game_Stats[[#This Row],[BuyIn]]+qry_Player_Game_Stats[[#This Row],[Rebuy]])</f>
        <v>0</v>
      </c>
      <c r="G48" s="1" t="str">
        <f>_xlfn.XLOOKUP(qry_Player_Game_Stats[[#This Row],[Player_No]],qry_Players[Player_No],qry_Players[Player_Name])</f>
        <v>Kevin Lee</v>
      </c>
    </row>
    <row r="49" spans="1:7" x14ac:dyDescent="0.3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f>qry_Player_Game_Stats[[#This Row],[CashOut]]-(qry_Player_Game_Stats[[#This Row],[BuyIn]]+qry_Player_Game_Stats[[#This Row],[Rebuy]])</f>
        <v>35</v>
      </c>
      <c r="G49" s="1" t="str">
        <f>_xlfn.XLOOKUP(qry_Player_Game_Stats[[#This Row],[Player_No]],qry_Players[Player_No],qry_Players[Player_Name])</f>
        <v>Brendan Stevenson</v>
      </c>
    </row>
    <row r="50" spans="1:7" x14ac:dyDescent="0.3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f>qry_Player_Game_Stats[[#This Row],[CashOut]]-(qry_Player_Game_Stats[[#This Row],[BuyIn]]+qry_Player_Game_Stats[[#This Row],[Rebuy]])</f>
        <v>-30</v>
      </c>
      <c r="G50" s="1" t="str">
        <f>_xlfn.XLOOKUP(qry_Player_Game_Stats[[#This Row],[Player_No]],qry_Players[Player_No],qry_Players[Player_Name])</f>
        <v>Ryan Mc Elchar</v>
      </c>
    </row>
    <row r="51" spans="1:7" x14ac:dyDescent="0.3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f>qry_Player_Game_Stats[[#This Row],[CashOut]]-(qry_Player_Game_Stats[[#This Row],[BuyIn]]+qry_Player_Game_Stats[[#This Row],[Rebuy]])</f>
        <v>-50</v>
      </c>
      <c r="G51" s="1" t="str">
        <f>_xlfn.XLOOKUP(qry_Player_Game_Stats[[#This Row],[Player_No]],qry_Players[Player_No],qry_Players[Player_Name])</f>
        <v>Martin Hunter</v>
      </c>
    </row>
    <row r="52" spans="1:7" x14ac:dyDescent="0.3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f>qry_Player_Game_Stats[[#This Row],[CashOut]]-(qry_Player_Game_Stats[[#This Row],[BuyIn]]+qry_Player_Game_Stats[[#This Row],[Rebuy]])</f>
        <v>-5</v>
      </c>
      <c r="G52" s="1" t="str">
        <f>_xlfn.XLOOKUP(qry_Player_Game_Stats[[#This Row],[Player_No]],qry_Players[Player_No],qry_Players[Player_Name])</f>
        <v>Ciaran Lynch</v>
      </c>
    </row>
    <row r="53" spans="1:7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f>qry_Player_Game_Stats[[#This Row],[CashOut]]-(qry_Player_Game_Stats[[#This Row],[BuyIn]]+qry_Player_Game_Stats[[#This Row],[Rebuy]])</f>
        <v>-25</v>
      </c>
      <c r="G53" s="1" t="str">
        <f>_xlfn.XLOOKUP(qry_Player_Game_Stats[[#This Row],[Player_No]],qry_Players[Player_No],qry_Players[Player_Name])</f>
        <v>Barry Hunter</v>
      </c>
    </row>
    <row r="54" spans="1:7" x14ac:dyDescent="0.3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f>qry_Player_Game_Stats[[#This Row],[CashOut]]-(qry_Player_Game_Stats[[#This Row],[BuyIn]]+qry_Player_Game_Stats[[#This Row],[Rebuy]])</f>
        <v>65</v>
      </c>
      <c r="G54" s="1" t="str">
        <f>_xlfn.XLOOKUP(qry_Player_Game_Stats[[#This Row],[Player_No]],qry_Players[Player_No],qry_Players[Player_Name])</f>
        <v>Morgan Mooney</v>
      </c>
    </row>
    <row r="55" spans="1:7" x14ac:dyDescent="0.3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f>qry_Player_Game_Stats[[#This Row],[CashOut]]-(qry_Player_Game_Stats[[#This Row],[BuyIn]]+qry_Player_Game_Stats[[#This Row],[Rebuy]])</f>
        <v>90</v>
      </c>
      <c r="G55" s="1" t="str">
        <f>_xlfn.XLOOKUP(qry_Player_Game_Stats[[#This Row],[Player_No]],qry_Players[Player_No],qry_Players[Player_Name])</f>
        <v>Kevin Lee</v>
      </c>
    </row>
    <row r="56" spans="1:7" x14ac:dyDescent="0.3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f>qry_Player_Game_Stats[[#This Row],[CashOut]]-(qry_Player_Game_Stats[[#This Row],[BuyIn]]+qry_Player_Game_Stats[[#This Row],[Rebuy]])</f>
        <v>0</v>
      </c>
      <c r="G56" s="1" t="str">
        <f>_xlfn.XLOOKUP(qry_Player_Game_Stats[[#This Row],[Player_No]],qry_Players[Player_No],qry_Players[Player_Name])</f>
        <v>Brendan Stevenson</v>
      </c>
    </row>
    <row r="57" spans="1:7" x14ac:dyDescent="0.3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f>qry_Player_Game_Stats[[#This Row],[CashOut]]-(qry_Player_Game_Stats[[#This Row],[BuyIn]]+qry_Player_Game_Stats[[#This Row],[Rebuy]])</f>
        <v>-50</v>
      </c>
      <c r="G57" s="1" t="str">
        <f>_xlfn.XLOOKUP(qry_Player_Game_Stats[[#This Row],[Player_No]],qry_Players[Player_No],qry_Players[Player_Name])</f>
        <v>Mark Hunter</v>
      </c>
    </row>
    <row r="58" spans="1:7" x14ac:dyDescent="0.3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f>qry_Player_Game_Stats[[#This Row],[CashOut]]-(qry_Player_Game_Stats[[#This Row],[BuyIn]]+qry_Player_Game_Stats[[#This Row],[Rebuy]])</f>
        <v>-25</v>
      </c>
      <c r="G58" s="1" t="str">
        <f>_xlfn.XLOOKUP(qry_Player_Game_Stats[[#This Row],[Player_No]],qry_Players[Player_No],qry_Players[Player_Name])</f>
        <v>Ryan Mc Elchar</v>
      </c>
    </row>
    <row r="59" spans="1:7" x14ac:dyDescent="0.3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f>qry_Player_Game_Stats[[#This Row],[CashOut]]-(qry_Player_Game_Stats[[#This Row],[BuyIn]]+qry_Player_Game_Stats[[#This Row],[Rebuy]])</f>
        <v>-5</v>
      </c>
      <c r="G59" s="1" t="str">
        <f>_xlfn.XLOOKUP(qry_Player_Game_Stats[[#This Row],[Player_No]],qry_Players[Player_No],qry_Players[Player_Name])</f>
        <v>Martin Hunter</v>
      </c>
    </row>
    <row r="60" spans="1:7" x14ac:dyDescent="0.3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f>qry_Player_Game_Stats[[#This Row],[CashOut]]-(qry_Player_Game_Stats[[#This Row],[BuyIn]]+qry_Player_Game_Stats[[#This Row],[Rebuy]])</f>
        <v>15</v>
      </c>
      <c r="G60" s="1" t="str">
        <f>_xlfn.XLOOKUP(qry_Player_Game_Stats[[#This Row],[Player_No]],qry_Players[Player_No],qry_Players[Player_Name])</f>
        <v>Ciaran Lynch</v>
      </c>
    </row>
    <row r="61" spans="1:7" x14ac:dyDescent="0.3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f>qry_Player_Game_Stats[[#This Row],[CashOut]]-(qry_Player_Game_Stats[[#This Row],[BuyIn]]+qry_Player_Game_Stats[[#This Row],[Rebuy]])</f>
        <v>-25</v>
      </c>
      <c r="G61" s="1" t="str">
        <f>_xlfn.XLOOKUP(qry_Player_Game_Stats[[#This Row],[Player_No]],qry_Players[Player_No],qry_Players[Player_Name])</f>
        <v>Barry Hunter</v>
      </c>
    </row>
    <row r="62" spans="1:7" x14ac:dyDescent="0.3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f>qry_Player_Game_Stats[[#This Row],[CashOut]]-(qry_Player_Game_Stats[[#This Row],[BuyIn]]+qry_Player_Game_Stats[[#This Row],[Rebuy]])</f>
        <v>0</v>
      </c>
      <c r="G62" s="1" t="str">
        <f>_xlfn.XLOOKUP(qry_Player_Game_Stats[[#This Row],[Player_No]],qry_Players[Player_No],qry_Players[Player_Name])</f>
        <v>Morgan Mooney</v>
      </c>
    </row>
    <row r="63" spans="1:7" x14ac:dyDescent="0.3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f>qry_Player_Game_Stats[[#This Row],[CashOut]]-(qry_Player_Game_Stats[[#This Row],[BuyIn]]+qry_Player_Game_Stats[[#This Row],[Rebuy]])</f>
        <v>-50</v>
      </c>
      <c r="G63" s="1" t="str">
        <f>_xlfn.XLOOKUP(qry_Player_Game_Stats[[#This Row],[Player_No]],qry_Players[Player_No],qry_Players[Player_Name])</f>
        <v>Kevin Lee</v>
      </c>
    </row>
    <row r="64" spans="1:7" x14ac:dyDescent="0.3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f>qry_Player_Game_Stats[[#This Row],[CashOut]]-(qry_Player_Game_Stats[[#This Row],[BuyIn]]+qry_Player_Game_Stats[[#This Row],[Rebuy]])</f>
        <v>55</v>
      </c>
      <c r="G64" s="1" t="str">
        <f>_xlfn.XLOOKUP(qry_Player_Game_Stats[[#This Row],[Player_No]],qry_Players[Player_No],qry_Players[Player_Name])</f>
        <v>Steven Black</v>
      </c>
    </row>
    <row r="65" spans="1:7" x14ac:dyDescent="0.3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f>qry_Player_Game_Stats[[#This Row],[CashOut]]-(qry_Player_Game_Stats[[#This Row],[BuyIn]]+qry_Player_Game_Stats[[#This Row],[Rebuy]])</f>
        <v>10</v>
      </c>
      <c r="G65" s="1" t="str">
        <f>_xlfn.XLOOKUP(qry_Player_Game_Stats[[#This Row],[Player_No]],qry_Players[Player_No],qry_Players[Player_Name])</f>
        <v>Mark Hunter</v>
      </c>
    </row>
    <row r="66" spans="1:7" x14ac:dyDescent="0.3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f>qry_Player_Game_Stats[[#This Row],[CashOut]]-(qry_Player_Game_Stats[[#This Row],[BuyIn]]+qry_Player_Game_Stats[[#This Row],[Rebuy]])</f>
        <v>-40</v>
      </c>
      <c r="G66" s="1" t="str">
        <f>_xlfn.XLOOKUP(qry_Player_Game_Stats[[#This Row],[Player_No]],qry_Players[Player_No],qry_Players[Player_Name])</f>
        <v>Martin Hunter</v>
      </c>
    </row>
    <row r="67" spans="1:7" x14ac:dyDescent="0.3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f>qry_Player_Game_Stats[[#This Row],[CashOut]]-(qry_Player_Game_Stats[[#This Row],[BuyIn]]+qry_Player_Game_Stats[[#This Row],[Rebuy]])</f>
        <v>-25</v>
      </c>
      <c r="G67" s="1" t="str">
        <f>_xlfn.XLOOKUP(qry_Player_Game_Stats[[#This Row],[Player_No]],qry_Players[Player_No],qry_Players[Player_Name])</f>
        <v>Ciaran Lynch</v>
      </c>
    </row>
    <row r="68" spans="1:7" x14ac:dyDescent="0.3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f>qry_Player_Game_Stats[[#This Row],[CashOut]]-(qry_Player_Game_Stats[[#This Row],[BuyIn]]+qry_Player_Game_Stats[[#This Row],[Rebuy]])</f>
        <v>30</v>
      </c>
      <c r="G68" s="1" t="str">
        <f>_xlfn.XLOOKUP(qry_Player_Game_Stats[[#This Row],[Player_No]],qry_Players[Player_No],qry_Players[Player_Name])</f>
        <v>Barry Hunter</v>
      </c>
    </row>
    <row r="69" spans="1:7" x14ac:dyDescent="0.3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f>qry_Player_Game_Stats[[#This Row],[CashOut]]-(qry_Player_Game_Stats[[#This Row],[BuyIn]]+qry_Player_Game_Stats[[#This Row],[Rebuy]])</f>
        <v>-15</v>
      </c>
      <c r="G69" s="1" t="str">
        <f>_xlfn.XLOOKUP(qry_Player_Game_Stats[[#This Row],[Player_No]],qry_Players[Player_No],qry_Players[Player_Name])</f>
        <v>Morgan Mooney</v>
      </c>
    </row>
    <row r="70" spans="1:7" x14ac:dyDescent="0.3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f>qry_Player_Game_Stats[[#This Row],[CashOut]]-(qry_Player_Game_Stats[[#This Row],[BuyIn]]+qry_Player_Game_Stats[[#This Row],[Rebuy]])</f>
        <v>35</v>
      </c>
      <c r="G70" s="1" t="str">
        <f>_xlfn.XLOOKUP(qry_Player_Game_Stats[[#This Row],[Player_No]],qry_Players[Player_No],qry_Players[Player_Name])</f>
        <v>Kevin Lee</v>
      </c>
    </row>
    <row r="71" spans="1:7" x14ac:dyDescent="0.3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f>qry_Player_Game_Stats[[#This Row],[CashOut]]-(qry_Player_Game_Stats[[#This Row],[BuyIn]]+qry_Player_Game_Stats[[#This Row],[Rebuy]])</f>
        <v>15</v>
      </c>
      <c r="G71" s="1" t="str">
        <f>_xlfn.XLOOKUP(qry_Player_Game_Stats[[#This Row],[Player_No]],qry_Players[Player_No],qry_Players[Player_Name])</f>
        <v>Steven Black</v>
      </c>
    </row>
    <row r="72" spans="1:7" x14ac:dyDescent="0.3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f>qry_Player_Game_Stats[[#This Row],[CashOut]]-(qry_Player_Game_Stats[[#This Row],[BuyIn]]+qry_Player_Game_Stats[[#This Row],[Rebuy]])</f>
        <v>0</v>
      </c>
      <c r="G72" s="1" t="str">
        <f>_xlfn.XLOOKUP(qry_Player_Game_Stats[[#This Row],[Player_No]],qry_Players[Player_No],qry_Players[Player_Name])</f>
        <v>Mark Hunter</v>
      </c>
    </row>
    <row r="73" spans="1:7" x14ac:dyDescent="0.3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f>qry_Player_Game_Stats[[#This Row],[CashOut]]-(qry_Player_Game_Stats[[#This Row],[BuyIn]]+qry_Player_Game_Stats[[#This Row],[Rebuy]])</f>
        <v>5</v>
      </c>
      <c r="G73" s="1" t="str">
        <f>_xlfn.XLOOKUP(qry_Player_Game_Stats[[#This Row],[Player_No]],qry_Players[Player_No],qry_Players[Player_Name])</f>
        <v>Martin Hunter</v>
      </c>
    </row>
    <row r="74" spans="1:7" x14ac:dyDescent="0.3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f>qry_Player_Game_Stats[[#This Row],[CashOut]]-(qry_Player_Game_Stats[[#This Row],[BuyIn]]+qry_Player_Game_Stats[[#This Row],[Rebuy]])</f>
        <v>20</v>
      </c>
      <c r="G74" s="1" t="str">
        <f>_xlfn.XLOOKUP(qry_Player_Game_Stats[[#This Row],[Player_No]],qry_Players[Player_No],qry_Players[Player_Name])</f>
        <v>Ciaran Lynch</v>
      </c>
    </row>
    <row r="75" spans="1:7" x14ac:dyDescent="0.3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f>qry_Player_Game_Stats[[#This Row],[CashOut]]-(qry_Player_Game_Stats[[#This Row],[BuyIn]]+qry_Player_Game_Stats[[#This Row],[Rebuy]])</f>
        <v>-10</v>
      </c>
      <c r="G75" s="1" t="str">
        <f>_xlfn.XLOOKUP(qry_Player_Game_Stats[[#This Row],[Player_No]],qry_Players[Player_No],qry_Players[Player_Name])</f>
        <v>Barry Hunter</v>
      </c>
    </row>
    <row r="76" spans="1:7" x14ac:dyDescent="0.3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f>qry_Player_Game_Stats[[#This Row],[CashOut]]-(qry_Player_Game_Stats[[#This Row],[BuyIn]]+qry_Player_Game_Stats[[#This Row],[Rebuy]])</f>
        <v>-20</v>
      </c>
      <c r="G76" s="1" t="str">
        <f>_xlfn.XLOOKUP(qry_Player_Game_Stats[[#This Row],[Player_No]],qry_Players[Player_No],qry_Players[Player_Name])</f>
        <v>Morgan Mooney</v>
      </c>
    </row>
    <row r="77" spans="1:7" x14ac:dyDescent="0.3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f>qry_Player_Game_Stats[[#This Row],[CashOut]]-(qry_Player_Game_Stats[[#This Row],[BuyIn]]+qry_Player_Game_Stats[[#This Row],[Rebuy]])</f>
        <v>10</v>
      </c>
      <c r="G77" s="1" t="str">
        <f>_xlfn.XLOOKUP(qry_Player_Game_Stats[[#This Row],[Player_No]],qry_Players[Player_No],qry_Players[Player_Name])</f>
        <v>Kevin Lee</v>
      </c>
    </row>
    <row r="78" spans="1:7" x14ac:dyDescent="0.3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f>qry_Player_Game_Stats[[#This Row],[CashOut]]-(qry_Player_Game_Stats[[#This Row],[BuyIn]]+qry_Player_Game_Stats[[#This Row],[Rebuy]])</f>
        <v>5</v>
      </c>
      <c r="G78" s="1" t="str">
        <f>_xlfn.XLOOKUP(qry_Player_Game_Stats[[#This Row],[Player_No]],qry_Players[Player_No],qry_Players[Player_Name])</f>
        <v>Brendan Stevenson</v>
      </c>
    </row>
    <row r="79" spans="1:7" x14ac:dyDescent="0.3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f>qry_Player_Game_Stats[[#This Row],[CashOut]]-(qry_Player_Game_Stats[[#This Row],[BuyIn]]+qry_Player_Game_Stats[[#This Row],[Rebuy]])</f>
        <v>40</v>
      </c>
      <c r="G79" s="1" t="str">
        <f>_xlfn.XLOOKUP(qry_Player_Game_Stats[[#This Row],[Player_No]],qry_Players[Player_No],qry_Players[Player_Name])</f>
        <v>Mark Hunter</v>
      </c>
    </row>
    <row r="80" spans="1:7" x14ac:dyDescent="0.3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f>qry_Player_Game_Stats[[#This Row],[CashOut]]-(qry_Player_Game_Stats[[#This Row],[BuyIn]]+qry_Player_Game_Stats[[#This Row],[Rebuy]])</f>
        <v>-50</v>
      </c>
      <c r="G80" s="1" t="str">
        <f>_xlfn.XLOOKUP(qry_Player_Game_Stats[[#This Row],[Player_No]],qry_Players[Player_No],qry_Players[Player_Name])</f>
        <v>Ryan Mc Elchar</v>
      </c>
    </row>
    <row r="81" spans="1:7" x14ac:dyDescent="0.3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f>qry_Player_Game_Stats[[#This Row],[CashOut]]-(qry_Player_Game_Stats[[#This Row],[BuyIn]]+qry_Player_Game_Stats[[#This Row],[Rebuy]])</f>
        <v>15</v>
      </c>
      <c r="G81" s="1" t="str">
        <f>_xlfn.XLOOKUP(qry_Player_Game_Stats[[#This Row],[Player_No]],qry_Players[Player_No],qry_Players[Player_Name])</f>
        <v>Martin Hunter</v>
      </c>
    </row>
    <row r="82" spans="1:7" x14ac:dyDescent="0.3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f>qry_Player_Game_Stats[[#This Row],[CashOut]]-(qry_Player_Game_Stats[[#This Row],[BuyIn]]+qry_Player_Game_Stats[[#This Row],[Rebuy]])</f>
        <v>20</v>
      </c>
      <c r="G82" s="1" t="str">
        <f>_xlfn.XLOOKUP(qry_Player_Game_Stats[[#This Row],[Player_No]],qry_Players[Player_No],qry_Players[Player_Name])</f>
        <v>Ciaran Lynch</v>
      </c>
    </row>
    <row r="83" spans="1:7" x14ac:dyDescent="0.3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f>qry_Player_Game_Stats[[#This Row],[CashOut]]-(qry_Player_Game_Stats[[#This Row],[BuyIn]]+qry_Player_Game_Stats[[#This Row],[Rebuy]])</f>
        <v>0</v>
      </c>
      <c r="G83" s="1" t="str">
        <f>_xlfn.XLOOKUP(qry_Player_Game_Stats[[#This Row],[Player_No]],qry_Players[Player_No],qry_Players[Player_Name])</f>
        <v>Barry Hunter</v>
      </c>
    </row>
    <row r="84" spans="1:7" x14ac:dyDescent="0.3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f>qry_Player_Game_Stats[[#This Row],[CashOut]]-(qry_Player_Game_Stats[[#This Row],[BuyIn]]+qry_Player_Game_Stats[[#This Row],[Rebuy]])</f>
        <v>-50</v>
      </c>
      <c r="G84" s="1" t="str">
        <f>_xlfn.XLOOKUP(qry_Player_Game_Stats[[#This Row],[Player_No]],qry_Players[Player_No],qry_Players[Player_Name])</f>
        <v>Seamus Diver</v>
      </c>
    </row>
    <row r="85" spans="1:7" x14ac:dyDescent="0.3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f>qry_Player_Game_Stats[[#This Row],[CashOut]]-(qry_Player_Game_Stats[[#This Row],[BuyIn]]+qry_Player_Game_Stats[[#This Row],[Rebuy]])</f>
        <v>-5</v>
      </c>
      <c r="G85" s="1" t="str">
        <f>_xlfn.XLOOKUP(qry_Player_Game_Stats[[#This Row],[Player_No]],qry_Players[Player_No],qry_Players[Player_Name])</f>
        <v>Morgan Mooney</v>
      </c>
    </row>
    <row r="86" spans="1:7" x14ac:dyDescent="0.3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f>qry_Player_Game_Stats[[#This Row],[CashOut]]-(qry_Player_Game_Stats[[#This Row],[BuyIn]]+qry_Player_Game_Stats[[#This Row],[Rebuy]])</f>
        <v>75</v>
      </c>
      <c r="G86" s="1" t="str">
        <f>_xlfn.XLOOKUP(qry_Player_Game_Stats[[#This Row],[Player_No]],qry_Players[Player_No],qry_Players[Player_Name])</f>
        <v>Kevin Lee</v>
      </c>
    </row>
    <row r="87" spans="1:7" x14ac:dyDescent="0.3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f>qry_Player_Game_Stats[[#This Row],[CashOut]]-(qry_Player_Game_Stats[[#This Row],[BuyIn]]+qry_Player_Game_Stats[[#This Row],[Rebuy]])</f>
        <v>0</v>
      </c>
      <c r="G87" s="1" t="str">
        <f>_xlfn.XLOOKUP(qry_Player_Game_Stats[[#This Row],[Player_No]],qry_Players[Player_No],qry_Players[Player_Name])</f>
        <v>Brendan Stevenson</v>
      </c>
    </row>
    <row r="88" spans="1:7" x14ac:dyDescent="0.3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f>qry_Player_Game_Stats[[#This Row],[CashOut]]-(qry_Player_Game_Stats[[#This Row],[BuyIn]]+qry_Player_Game_Stats[[#This Row],[Rebuy]])</f>
        <v>-50</v>
      </c>
      <c r="G88" s="1" t="str">
        <f>_xlfn.XLOOKUP(qry_Player_Game_Stats[[#This Row],[Player_No]],qry_Players[Player_No],qry_Players[Player_Name])</f>
        <v>Steven Black</v>
      </c>
    </row>
    <row r="89" spans="1:7" x14ac:dyDescent="0.3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f>qry_Player_Game_Stats[[#This Row],[CashOut]]-(qry_Player_Game_Stats[[#This Row],[BuyIn]]+qry_Player_Game_Stats[[#This Row],[Rebuy]])</f>
        <v>50</v>
      </c>
      <c r="G89" s="1" t="str">
        <f>_xlfn.XLOOKUP(qry_Player_Game_Stats[[#This Row],[Player_No]],qry_Players[Player_No],qry_Players[Player_Name])</f>
        <v>Martin Hunter</v>
      </c>
    </row>
    <row r="90" spans="1:7" x14ac:dyDescent="0.3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f>qry_Player_Game_Stats[[#This Row],[CashOut]]-(qry_Player_Game_Stats[[#This Row],[BuyIn]]+qry_Player_Game_Stats[[#This Row],[Rebuy]])</f>
        <v>15</v>
      </c>
      <c r="G90" s="1" t="str">
        <f>_xlfn.XLOOKUP(qry_Player_Game_Stats[[#This Row],[Player_No]],qry_Players[Player_No],qry_Players[Player_Name])</f>
        <v>Barry Hunter</v>
      </c>
    </row>
    <row r="91" spans="1:7" x14ac:dyDescent="0.3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f>qry_Player_Game_Stats[[#This Row],[CashOut]]-(qry_Player_Game_Stats[[#This Row],[BuyIn]]+qry_Player_Game_Stats[[#This Row],[Rebuy]])</f>
        <v>-5</v>
      </c>
      <c r="G91" s="1" t="str">
        <f>_xlfn.XLOOKUP(qry_Player_Game_Stats[[#This Row],[Player_No]],qry_Players[Player_No],qry_Players[Player_Name])</f>
        <v>Seamus Diver</v>
      </c>
    </row>
    <row r="92" spans="1:7" x14ac:dyDescent="0.3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f>qry_Player_Game_Stats[[#This Row],[CashOut]]-(qry_Player_Game_Stats[[#This Row],[BuyIn]]+qry_Player_Game_Stats[[#This Row],[Rebuy]])</f>
        <v>35</v>
      </c>
      <c r="G92" s="1" t="str">
        <f>_xlfn.XLOOKUP(qry_Player_Game_Stats[[#This Row],[Player_No]],qry_Players[Player_No],qry_Players[Player_Name])</f>
        <v>Kevin Lee</v>
      </c>
    </row>
    <row r="93" spans="1:7" x14ac:dyDescent="0.3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f>qry_Player_Game_Stats[[#This Row],[CashOut]]-(qry_Player_Game_Stats[[#This Row],[BuyIn]]+qry_Player_Game_Stats[[#This Row],[Rebuy]])</f>
        <v>5</v>
      </c>
      <c r="G93" s="1" t="str">
        <f>_xlfn.XLOOKUP(qry_Player_Game_Stats[[#This Row],[Player_No]],qry_Players[Player_No],qry_Players[Player_Name])</f>
        <v>Brendan Stevenson</v>
      </c>
    </row>
    <row r="94" spans="1:7" x14ac:dyDescent="0.3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f>qry_Player_Game_Stats[[#This Row],[CashOut]]-(qry_Player_Game_Stats[[#This Row],[BuyIn]]+qry_Player_Game_Stats[[#This Row],[Rebuy]])</f>
        <v>-50</v>
      </c>
      <c r="G94" s="1" t="str">
        <f>_xlfn.XLOOKUP(qry_Player_Game_Stats[[#This Row],[Player_No]],qry_Players[Player_No],qry_Players[Player_Name])</f>
        <v>Mark Hunter</v>
      </c>
    </row>
    <row r="95" spans="1:7" x14ac:dyDescent="0.3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f>qry_Player_Game_Stats[[#This Row],[CashOut]]-(qry_Player_Game_Stats[[#This Row],[BuyIn]]+qry_Player_Game_Stats[[#This Row],[Rebuy]])</f>
        <v>-50</v>
      </c>
      <c r="G95" s="1" t="str">
        <f>_xlfn.XLOOKUP(qry_Player_Game_Stats[[#This Row],[Player_No]],qry_Players[Player_No],qry_Players[Player_Name])</f>
        <v>Ryan Mc Elchar</v>
      </c>
    </row>
    <row r="96" spans="1:7" x14ac:dyDescent="0.35">
      <c r="A96">
        <v>14</v>
      </c>
      <c r="B96">
        <v>1</v>
      </c>
      <c r="C96" s="1">
        <v>30</v>
      </c>
      <c r="D96" s="1">
        <v>20</v>
      </c>
      <c r="E96" s="1">
        <v>35</v>
      </c>
      <c r="F96" s="1">
        <f>qry_Player_Game_Stats[[#This Row],[CashOut]]-(qry_Player_Game_Stats[[#This Row],[BuyIn]]+qry_Player_Game_Stats[[#This Row],[Rebuy]])</f>
        <v>-15</v>
      </c>
      <c r="G96" s="1" t="str">
        <f>_xlfn.XLOOKUP(qry_Player_Game_Stats[[#This Row],[Player_No]],qry_Players[Player_No],qry_Players[Player_Name])</f>
        <v>Martin Hunter</v>
      </c>
    </row>
    <row r="97" spans="1:7" x14ac:dyDescent="0.35">
      <c r="A97">
        <v>14</v>
      </c>
      <c r="B97">
        <v>3</v>
      </c>
      <c r="C97" s="1">
        <v>30</v>
      </c>
      <c r="D97" s="1">
        <v>20</v>
      </c>
      <c r="E97" s="1">
        <v>80</v>
      </c>
      <c r="F97" s="1">
        <f>qry_Player_Game_Stats[[#This Row],[CashOut]]-(qry_Player_Game_Stats[[#This Row],[BuyIn]]+qry_Player_Game_Stats[[#This Row],[Rebuy]])</f>
        <v>30</v>
      </c>
      <c r="G97" s="1" t="str">
        <f>_xlfn.XLOOKUP(qry_Player_Game_Stats[[#This Row],[Player_No]],qry_Players[Player_No],qry_Players[Player_Name])</f>
        <v>Barry Hunter</v>
      </c>
    </row>
    <row r="98" spans="1:7" x14ac:dyDescent="0.35">
      <c r="A98">
        <v>14</v>
      </c>
      <c r="B98">
        <v>4</v>
      </c>
      <c r="C98" s="1">
        <v>30</v>
      </c>
      <c r="D98" s="1">
        <v>20</v>
      </c>
      <c r="E98" s="1">
        <v>65</v>
      </c>
      <c r="F98" s="1">
        <f>qry_Player_Game_Stats[[#This Row],[CashOut]]-(qry_Player_Game_Stats[[#This Row],[BuyIn]]+qry_Player_Game_Stats[[#This Row],[Rebuy]])</f>
        <v>15</v>
      </c>
      <c r="G98" s="1" t="str">
        <f>_xlfn.XLOOKUP(qry_Player_Game_Stats[[#This Row],[Player_No]],qry_Players[Player_No],qry_Players[Player_Name])</f>
        <v>Seamus Diver</v>
      </c>
    </row>
    <row r="99" spans="1:7" x14ac:dyDescent="0.35">
      <c r="A99">
        <v>14</v>
      </c>
      <c r="B99">
        <v>5</v>
      </c>
      <c r="C99" s="1">
        <v>30</v>
      </c>
      <c r="D99" s="1">
        <v>20</v>
      </c>
      <c r="E99" s="1">
        <v>160</v>
      </c>
      <c r="F99" s="1">
        <f>qry_Player_Game_Stats[[#This Row],[CashOut]]-(qry_Player_Game_Stats[[#This Row],[BuyIn]]+qry_Player_Game_Stats[[#This Row],[Rebuy]])</f>
        <v>110</v>
      </c>
      <c r="G99" s="1" t="str">
        <f>_xlfn.XLOOKUP(qry_Player_Game_Stats[[#This Row],[Player_No]],qry_Players[Player_No],qry_Players[Player_Name])</f>
        <v>Morgan Mooney</v>
      </c>
    </row>
    <row r="100" spans="1:7" x14ac:dyDescent="0.35">
      <c r="A100">
        <v>14</v>
      </c>
      <c r="B100">
        <v>7</v>
      </c>
      <c r="C100" s="1">
        <v>30</v>
      </c>
      <c r="D100" s="1">
        <v>20</v>
      </c>
      <c r="E100" s="1">
        <v>0</v>
      </c>
      <c r="F100" s="1">
        <f>qry_Player_Game_Stats[[#This Row],[CashOut]]-(qry_Player_Game_Stats[[#This Row],[BuyIn]]+qry_Player_Game_Stats[[#This Row],[Rebuy]])</f>
        <v>-50</v>
      </c>
      <c r="G100" s="1" t="str">
        <f>_xlfn.XLOOKUP(qry_Player_Game_Stats[[#This Row],[Player_No]],qry_Players[Player_No],qry_Players[Player_Name])</f>
        <v>Brendan Stevenson</v>
      </c>
    </row>
    <row r="101" spans="1:7" x14ac:dyDescent="0.35">
      <c r="A101">
        <v>14</v>
      </c>
      <c r="B101">
        <v>12</v>
      </c>
      <c r="C101" s="1">
        <v>30</v>
      </c>
      <c r="D101" s="1">
        <v>20</v>
      </c>
      <c r="E101" s="1">
        <v>10</v>
      </c>
      <c r="F101" s="1">
        <f>qry_Player_Game_Stats[[#This Row],[CashOut]]-(qry_Player_Game_Stats[[#This Row],[BuyIn]]+qry_Player_Game_Stats[[#This Row],[Rebuy]])</f>
        <v>-40</v>
      </c>
      <c r="G101" s="1" t="str">
        <f>_xlfn.XLOOKUP(qry_Player_Game_Stats[[#This Row],[Player_No]],qry_Players[Player_No],qry_Players[Player_Name])</f>
        <v>Ryan Mc Elchar</v>
      </c>
    </row>
    <row r="102" spans="1:7" x14ac:dyDescent="0.35">
      <c r="A102">
        <v>14</v>
      </c>
      <c r="B102">
        <v>6</v>
      </c>
      <c r="C102" s="1">
        <v>30</v>
      </c>
      <c r="D102" s="1">
        <v>20</v>
      </c>
      <c r="E102" s="1">
        <v>0</v>
      </c>
      <c r="F102" s="1">
        <f>qry_Player_Game_Stats[[#This Row],[CashOut]]-(qry_Player_Game_Stats[[#This Row],[BuyIn]]+qry_Player_Game_Stats[[#This Row],[Rebuy]])</f>
        <v>-50</v>
      </c>
      <c r="G102" s="1" t="str">
        <f>_xlfn.XLOOKUP(qry_Player_Game_Stats[[#This Row],[Player_No]],qry_Players[Player_No],qry_Players[Player_Name])</f>
        <v>Kevin Lee</v>
      </c>
    </row>
    <row r="103" spans="1:7" x14ac:dyDescent="0.35">
      <c r="A103">
        <v>15</v>
      </c>
      <c r="B103">
        <v>1</v>
      </c>
      <c r="C103" s="1">
        <v>30</v>
      </c>
      <c r="D103" s="1">
        <v>20</v>
      </c>
      <c r="E103" s="1">
        <v>30</v>
      </c>
      <c r="F103" s="1">
        <f>qry_Player_Game_Stats[[#This Row],[CashOut]]-(qry_Player_Game_Stats[[#This Row],[BuyIn]]+qry_Player_Game_Stats[[#This Row],[Rebuy]])</f>
        <v>-20</v>
      </c>
      <c r="G103" s="1" t="str">
        <f>_xlfn.XLOOKUP(qry_Player_Game_Stats[[#This Row],[Player_No]],qry_Players[Player_No],qry_Players[Player_Name])</f>
        <v>Martin Hunter</v>
      </c>
    </row>
    <row r="104" spans="1:7" x14ac:dyDescent="0.35">
      <c r="A104">
        <v>15</v>
      </c>
      <c r="B104">
        <v>2</v>
      </c>
      <c r="C104" s="1">
        <v>30</v>
      </c>
      <c r="D104" s="1">
        <v>20</v>
      </c>
      <c r="E104" s="1">
        <v>90</v>
      </c>
      <c r="F104" s="1">
        <f>qry_Player_Game_Stats[[#This Row],[CashOut]]-(qry_Player_Game_Stats[[#This Row],[BuyIn]]+qry_Player_Game_Stats[[#This Row],[Rebuy]])</f>
        <v>40</v>
      </c>
      <c r="G104" s="1" t="str">
        <f>_xlfn.XLOOKUP(qry_Player_Game_Stats[[#This Row],[Player_No]],qry_Players[Player_No],qry_Players[Player_Name])</f>
        <v>Ciaran Lynch</v>
      </c>
    </row>
    <row r="105" spans="1:7" x14ac:dyDescent="0.35">
      <c r="A105">
        <v>15</v>
      </c>
      <c r="B105">
        <v>3</v>
      </c>
      <c r="C105" s="1">
        <v>30</v>
      </c>
      <c r="D105" s="1">
        <v>20</v>
      </c>
      <c r="E105" s="1">
        <v>0</v>
      </c>
      <c r="F105" s="1">
        <f>qry_Player_Game_Stats[[#This Row],[CashOut]]-(qry_Player_Game_Stats[[#This Row],[BuyIn]]+qry_Player_Game_Stats[[#This Row],[Rebuy]])</f>
        <v>-50</v>
      </c>
      <c r="G105" s="1" t="str">
        <f>_xlfn.XLOOKUP(qry_Player_Game_Stats[[#This Row],[Player_No]],qry_Players[Player_No],qry_Players[Player_Name])</f>
        <v>Barry Hunter</v>
      </c>
    </row>
    <row r="106" spans="1:7" x14ac:dyDescent="0.35">
      <c r="A106">
        <v>15</v>
      </c>
      <c r="B106">
        <v>5</v>
      </c>
      <c r="C106" s="1">
        <v>30</v>
      </c>
      <c r="D106" s="1">
        <v>20</v>
      </c>
      <c r="E106" s="1">
        <v>0</v>
      </c>
      <c r="F106" s="1">
        <f>qry_Player_Game_Stats[[#This Row],[CashOut]]-(qry_Player_Game_Stats[[#This Row],[BuyIn]]+qry_Player_Game_Stats[[#This Row],[Rebuy]])</f>
        <v>-50</v>
      </c>
      <c r="G106" s="1" t="str">
        <f>_xlfn.XLOOKUP(qry_Player_Game_Stats[[#This Row],[Player_No]],qry_Players[Player_No],qry_Players[Player_Name])</f>
        <v>Morgan Mooney</v>
      </c>
    </row>
    <row r="107" spans="1:7" x14ac:dyDescent="0.35">
      <c r="A107">
        <v>15</v>
      </c>
      <c r="B107">
        <v>6</v>
      </c>
      <c r="C107" s="1">
        <v>30</v>
      </c>
      <c r="D107" s="1">
        <v>20</v>
      </c>
      <c r="E107" s="1">
        <v>120</v>
      </c>
      <c r="F107" s="1">
        <f>qry_Player_Game_Stats[[#This Row],[CashOut]]-(qry_Player_Game_Stats[[#This Row],[BuyIn]]+qry_Player_Game_Stats[[#This Row],[Rebuy]])</f>
        <v>70</v>
      </c>
      <c r="G107" s="1" t="str">
        <f>_xlfn.XLOOKUP(qry_Player_Game_Stats[[#This Row],[Player_No]],qry_Players[Player_No],qry_Players[Player_Name])</f>
        <v>Kevin Lee</v>
      </c>
    </row>
    <row r="108" spans="1:7" x14ac:dyDescent="0.35">
      <c r="A108">
        <v>15</v>
      </c>
      <c r="B108">
        <v>13</v>
      </c>
      <c r="C108" s="1">
        <v>30</v>
      </c>
      <c r="D108" s="1">
        <v>20</v>
      </c>
      <c r="E108" s="1">
        <v>80</v>
      </c>
      <c r="F108" s="1">
        <f>qry_Player_Game_Stats[[#This Row],[CashOut]]-(qry_Player_Game_Stats[[#This Row],[BuyIn]]+qry_Player_Game_Stats[[#This Row],[Rebuy]])</f>
        <v>30</v>
      </c>
      <c r="G108" s="1" t="str">
        <f>_xlfn.XLOOKUP(qry_Player_Game_Stats[[#This Row],[Player_No]],qry_Players[Player_No],qry_Players[Player_Name])</f>
        <v>John Meehan</v>
      </c>
    </row>
    <row r="109" spans="1:7" x14ac:dyDescent="0.35">
      <c r="A109">
        <v>15</v>
      </c>
      <c r="B109">
        <v>7</v>
      </c>
      <c r="C109" s="1">
        <v>30</v>
      </c>
      <c r="D109" s="1">
        <v>20</v>
      </c>
      <c r="E109" s="1">
        <v>30</v>
      </c>
      <c r="F109" s="1">
        <f>qry_Player_Game_Stats[[#This Row],[CashOut]]-(qry_Player_Game_Stats[[#This Row],[BuyIn]]+qry_Player_Game_Stats[[#This Row],[Rebuy]])</f>
        <v>-20</v>
      </c>
      <c r="G109" s="1" t="str">
        <f>_xlfn.XLOOKUP(qry_Player_Game_Stats[[#This Row],[Player_No]],qry_Players[Player_No],qry_Players[Player_Name])</f>
        <v>Brendan Stevenson</v>
      </c>
    </row>
    <row r="110" spans="1:7" x14ac:dyDescent="0.35">
      <c r="A110">
        <v>16</v>
      </c>
      <c r="B110">
        <v>1</v>
      </c>
      <c r="C110" s="1">
        <v>30</v>
      </c>
      <c r="D110" s="1">
        <v>20</v>
      </c>
      <c r="E110" s="1">
        <v>95</v>
      </c>
      <c r="F110" s="1">
        <f>qry_Player_Game_Stats[[#This Row],[CashOut]]-(qry_Player_Game_Stats[[#This Row],[BuyIn]]+qry_Player_Game_Stats[[#This Row],[Rebuy]])</f>
        <v>45</v>
      </c>
      <c r="G110" s="1" t="str">
        <f>_xlfn.XLOOKUP(qry_Player_Game_Stats[[#This Row],[Player_No]],qry_Players[Player_No],qry_Players[Player_Name])</f>
        <v>Martin Hunter</v>
      </c>
    </row>
    <row r="111" spans="1:7" x14ac:dyDescent="0.35">
      <c r="A111">
        <v>16</v>
      </c>
      <c r="B111">
        <v>2</v>
      </c>
      <c r="C111" s="1">
        <v>30</v>
      </c>
      <c r="D111" s="1">
        <v>20</v>
      </c>
      <c r="E111" s="1">
        <v>70</v>
      </c>
      <c r="F111" s="1">
        <f>qry_Player_Game_Stats[[#This Row],[CashOut]]-(qry_Player_Game_Stats[[#This Row],[BuyIn]]+qry_Player_Game_Stats[[#This Row],[Rebuy]])</f>
        <v>20</v>
      </c>
      <c r="G111" s="1" t="str">
        <f>_xlfn.XLOOKUP(qry_Player_Game_Stats[[#This Row],[Player_No]],qry_Players[Player_No],qry_Players[Player_Name])</f>
        <v>Ciaran Lynch</v>
      </c>
    </row>
    <row r="112" spans="1:7" x14ac:dyDescent="0.35">
      <c r="A112">
        <v>16</v>
      </c>
      <c r="B112">
        <v>3</v>
      </c>
      <c r="C112" s="1">
        <v>30</v>
      </c>
      <c r="D112" s="1">
        <v>20</v>
      </c>
      <c r="E112" s="1">
        <v>0</v>
      </c>
      <c r="F112" s="1">
        <f>qry_Player_Game_Stats[[#This Row],[CashOut]]-(qry_Player_Game_Stats[[#This Row],[BuyIn]]+qry_Player_Game_Stats[[#This Row],[Rebuy]])</f>
        <v>-50</v>
      </c>
      <c r="G112" s="1" t="str">
        <f>_xlfn.XLOOKUP(qry_Player_Game_Stats[[#This Row],[Player_No]],qry_Players[Player_No],qry_Players[Player_Name])</f>
        <v>Barry Hunter</v>
      </c>
    </row>
    <row r="113" spans="1:7" x14ac:dyDescent="0.35">
      <c r="A113">
        <v>16</v>
      </c>
      <c r="B113">
        <v>5</v>
      </c>
      <c r="C113" s="1">
        <v>30</v>
      </c>
      <c r="D113" s="1">
        <v>20</v>
      </c>
      <c r="E113" s="1">
        <v>5</v>
      </c>
      <c r="F113" s="1">
        <f>qry_Player_Game_Stats[[#This Row],[CashOut]]-(qry_Player_Game_Stats[[#This Row],[BuyIn]]+qry_Player_Game_Stats[[#This Row],[Rebuy]])</f>
        <v>-45</v>
      </c>
      <c r="G113" s="1" t="str">
        <f>_xlfn.XLOOKUP(qry_Player_Game_Stats[[#This Row],[Player_No]],qry_Players[Player_No],qry_Players[Player_Name])</f>
        <v>Morgan Mooney</v>
      </c>
    </row>
    <row r="114" spans="1:7" x14ac:dyDescent="0.35">
      <c r="A114">
        <v>16</v>
      </c>
      <c r="B114">
        <v>6</v>
      </c>
      <c r="C114" s="1">
        <v>30</v>
      </c>
      <c r="D114" s="1">
        <v>20</v>
      </c>
      <c r="E114" s="1">
        <v>25</v>
      </c>
      <c r="F114" s="1">
        <f>qry_Player_Game_Stats[[#This Row],[CashOut]]-(qry_Player_Game_Stats[[#This Row],[BuyIn]]+qry_Player_Game_Stats[[#This Row],[Rebuy]])</f>
        <v>-25</v>
      </c>
      <c r="G114" s="1" t="str">
        <f>_xlfn.XLOOKUP(qry_Player_Game_Stats[[#This Row],[Player_No]],qry_Players[Player_No],qry_Players[Player_Name])</f>
        <v>Kevin Lee</v>
      </c>
    </row>
    <row r="115" spans="1:7" x14ac:dyDescent="0.35">
      <c r="A115">
        <v>16</v>
      </c>
      <c r="B115">
        <v>8</v>
      </c>
      <c r="C115" s="1">
        <v>30</v>
      </c>
      <c r="D115" s="1">
        <v>20</v>
      </c>
      <c r="E115" s="1">
        <v>105</v>
      </c>
      <c r="F115" s="1">
        <f>qry_Player_Game_Stats[[#This Row],[CashOut]]-(qry_Player_Game_Stats[[#This Row],[BuyIn]]+qry_Player_Game_Stats[[#This Row],[Rebuy]])</f>
        <v>55</v>
      </c>
      <c r="G115" s="1" t="str">
        <f>_xlfn.XLOOKUP(qry_Player_Game_Stats[[#This Row],[Player_No]],qry_Players[Player_No],qry_Players[Player_Name])</f>
        <v>Steven Black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E16D0-7ABF-4128-B965-709C4F9CAB21}">
  <dimension ref="A1:D17"/>
  <sheetViews>
    <sheetView workbookViewId="0">
      <selection activeCell="F30" sqref="F30"/>
    </sheetView>
  </sheetViews>
  <sheetFormatPr defaultRowHeight="14.5" x14ac:dyDescent="0.35"/>
  <cols>
    <col min="1" max="1" width="10.6328125" bestFit="1" customWidth="1"/>
    <col min="2" max="2" width="12.7265625" bestFit="1" customWidth="1"/>
    <col min="3" max="3" width="16.08984375" bestFit="1" customWidth="1"/>
    <col min="4" max="4" width="24.36328125" bestFit="1" customWidth="1"/>
  </cols>
  <sheetData>
    <row r="1" spans="1:4" x14ac:dyDescent="0.35">
      <c r="A1" t="s">
        <v>21</v>
      </c>
      <c r="B1" t="s">
        <v>13</v>
      </c>
      <c r="C1" t="s">
        <v>36</v>
      </c>
      <c r="D1" t="s">
        <v>37</v>
      </c>
    </row>
    <row r="2" spans="1:4" x14ac:dyDescent="0.35">
      <c r="A2">
        <v>1</v>
      </c>
      <c r="B2" s="2">
        <v>45681</v>
      </c>
      <c r="C2">
        <v>6</v>
      </c>
      <c r="D2" t="s">
        <v>7</v>
      </c>
    </row>
    <row r="3" spans="1:4" x14ac:dyDescent="0.35">
      <c r="A3">
        <v>7</v>
      </c>
      <c r="B3" s="2">
        <v>46010</v>
      </c>
      <c r="C3">
        <v>6</v>
      </c>
      <c r="D3" t="s">
        <v>7</v>
      </c>
    </row>
    <row r="4" spans="1:4" x14ac:dyDescent="0.35">
      <c r="A4">
        <v>14</v>
      </c>
      <c r="B4" s="2">
        <v>46164</v>
      </c>
      <c r="C4">
        <v>6</v>
      </c>
      <c r="D4" t="s">
        <v>7</v>
      </c>
    </row>
    <row r="5" spans="1:4" x14ac:dyDescent="0.35">
      <c r="A5">
        <v>2</v>
      </c>
      <c r="B5" s="2">
        <v>45709</v>
      </c>
      <c r="C5">
        <v>1</v>
      </c>
      <c r="D5" t="s">
        <v>2</v>
      </c>
    </row>
    <row r="6" spans="1:4" x14ac:dyDescent="0.35">
      <c r="A6">
        <v>6</v>
      </c>
      <c r="B6" s="2">
        <v>45982</v>
      </c>
      <c r="C6">
        <v>1</v>
      </c>
      <c r="D6" t="s">
        <v>2</v>
      </c>
    </row>
    <row r="7" spans="1:4" x14ac:dyDescent="0.35">
      <c r="A7">
        <v>10</v>
      </c>
      <c r="B7" s="2">
        <v>46066</v>
      </c>
      <c r="C7">
        <v>1</v>
      </c>
      <c r="D7" t="s">
        <v>2</v>
      </c>
    </row>
    <row r="8" spans="1:4" x14ac:dyDescent="0.35">
      <c r="A8">
        <v>13</v>
      </c>
      <c r="B8" s="2">
        <v>46136</v>
      </c>
      <c r="C8">
        <v>1</v>
      </c>
      <c r="D8" t="s">
        <v>2</v>
      </c>
    </row>
    <row r="9" spans="1:4" x14ac:dyDescent="0.35">
      <c r="A9">
        <v>9</v>
      </c>
      <c r="B9" s="2">
        <v>46045</v>
      </c>
      <c r="C9">
        <v>2</v>
      </c>
      <c r="D9" t="s">
        <v>3</v>
      </c>
    </row>
    <row r="10" spans="1:4" x14ac:dyDescent="0.35">
      <c r="A10">
        <v>12</v>
      </c>
      <c r="B10" s="2">
        <v>46115</v>
      </c>
      <c r="C10">
        <v>2</v>
      </c>
      <c r="D10" t="s">
        <v>3</v>
      </c>
    </row>
    <row r="11" spans="1:4" x14ac:dyDescent="0.35">
      <c r="A11">
        <v>3</v>
      </c>
      <c r="B11" s="2">
        <v>45730</v>
      </c>
      <c r="C11">
        <v>4</v>
      </c>
      <c r="D11" t="s">
        <v>5</v>
      </c>
    </row>
    <row r="12" spans="1:4" x14ac:dyDescent="0.35">
      <c r="A12">
        <v>8</v>
      </c>
      <c r="B12" s="2">
        <v>46024</v>
      </c>
      <c r="C12">
        <v>3</v>
      </c>
      <c r="D12" t="s">
        <v>4</v>
      </c>
    </row>
    <row r="13" spans="1:4" x14ac:dyDescent="0.35">
      <c r="A13">
        <v>4</v>
      </c>
      <c r="B13" s="2">
        <v>45765</v>
      </c>
      <c r="C13">
        <v>5</v>
      </c>
      <c r="D13" t="s">
        <v>6</v>
      </c>
    </row>
    <row r="14" spans="1:4" x14ac:dyDescent="0.35">
      <c r="A14">
        <v>5</v>
      </c>
      <c r="B14" s="2">
        <v>45954</v>
      </c>
      <c r="C14">
        <v>5</v>
      </c>
      <c r="D14" t="s">
        <v>6</v>
      </c>
    </row>
    <row r="15" spans="1:4" x14ac:dyDescent="0.35">
      <c r="A15">
        <v>11</v>
      </c>
      <c r="B15" s="2">
        <v>46087</v>
      </c>
      <c r="C15">
        <v>5</v>
      </c>
      <c r="D15" t="s">
        <v>6</v>
      </c>
    </row>
    <row r="16" spans="1:4" x14ac:dyDescent="0.35">
      <c r="A16">
        <v>15</v>
      </c>
      <c r="B16" s="2">
        <v>46185</v>
      </c>
      <c r="C16">
        <v>2</v>
      </c>
      <c r="D16" t="s">
        <v>3</v>
      </c>
    </row>
    <row r="17" spans="1:4" x14ac:dyDescent="0.35">
      <c r="A17">
        <v>16</v>
      </c>
      <c r="B17" s="2">
        <v>46220</v>
      </c>
      <c r="C17">
        <v>2</v>
      </c>
      <c r="D17" t="s">
        <v>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3"/>
  <sheetViews>
    <sheetView workbookViewId="0">
      <selection activeCell="B15" sqref="B15"/>
    </sheetView>
  </sheetViews>
  <sheetFormatPr defaultRowHeight="14.5" x14ac:dyDescent="0.35"/>
  <cols>
    <col min="1" max="1" width="16.36328125" bestFit="1" customWidth="1"/>
    <col min="2" max="2" width="19.90625" bestFit="1" customWidth="1"/>
  </cols>
  <sheetData>
    <row r="1" spans="1:2" x14ac:dyDescent="0.35">
      <c r="A1" s="3" t="s">
        <v>39</v>
      </c>
      <c r="B1" s="4" t="s">
        <v>59</v>
      </c>
    </row>
    <row r="2" spans="1:2" x14ac:dyDescent="0.35">
      <c r="A2" s="5" t="s">
        <v>7</v>
      </c>
      <c r="B2" s="6">
        <v>265</v>
      </c>
    </row>
    <row r="3" spans="1:2" x14ac:dyDescent="0.35">
      <c r="A3" s="5" t="s">
        <v>3</v>
      </c>
      <c r="B3" s="6">
        <v>185</v>
      </c>
    </row>
    <row r="4" spans="1:2" x14ac:dyDescent="0.35">
      <c r="A4" s="5" t="s">
        <v>2</v>
      </c>
      <c r="B4" s="6">
        <v>110</v>
      </c>
    </row>
    <row r="5" spans="1:2" x14ac:dyDescent="0.35">
      <c r="A5" s="5" t="s">
        <v>78</v>
      </c>
      <c r="B5" s="6">
        <v>30</v>
      </c>
    </row>
    <row r="6" spans="1:2" x14ac:dyDescent="0.35">
      <c r="A6" s="5" t="s">
        <v>9</v>
      </c>
      <c r="B6" s="6">
        <v>-25</v>
      </c>
    </row>
    <row r="7" spans="1:2" x14ac:dyDescent="0.35">
      <c r="A7" s="5" t="s">
        <v>8</v>
      </c>
      <c r="B7" s="6">
        <v>-35</v>
      </c>
    </row>
    <row r="8" spans="1:2" x14ac:dyDescent="0.35">
      <c r="A8" s="5" t="s">
        <v>5</v>
      </c>
      <c r="B8" s="6">
        <v>-50</v>
      </c>
    </row>
    <row r="9" spans="1:2" x14ac:dyDescent="0.35">
      <c r="A9" s="5" t="s">
        <v>6</v>
      </c>
      <c r="B9" s="6">
        <v>-80</v>
      </c>
    </row>
    <row r="10" spans="1:2" x14ac:dyDescent="0.35">
      <c r="A10" s="5" t="s">
        <v>12</v>
      </c>
      <c r="B10" s="6">
        <v>-95</v>
      </c>
    </row>
    <row r="11" spans="1:2" x14ac:dyDescent="0.35">
      <c r="A11" s="5" t="s">
        <v>4</v>
      </c>
      <c r="B11" s="6">
        <v>-160</v>
      </c>
    </row>
    <row r="12" spans="1:2" x14ac:dyDescent="0.35">
      <c r="A12" s="5" t="s">
        <v>19</v>
      </c>
      <c r="B12" s="6">
        <v>-195</v>
      </c>
    </row>
    <row r="13" spans="1:2" x14ac:dyDescent="0.35">
      <c r="A13" s="5" t="s">
        <v>18</v>
      </c>
      <c r="B13" s="6">
        <v>-50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sheetPr>
    <pageSetUpPr fitToPage="1"/>
  </sheetPr>
  <dimension ref="A1:Q66"/>
  <sheetViews>
    <sheetView workbookViewId="0">
      <selection activeCell="B44" sqref="B44"/>
    </sheetView>
  </sheetViews>
  <sheetFormatPr defaultRowHeight="14.5" x14ac:dyDescent="0.35"/>
  <cols>
    <col min="1" max="1" width="16.36328125" bestFit="1" customWidth="1"/>
    <col min="2" max="2" width="21.81640625" bestFit="1" customWidth="1"/>
    <col min="3" max="3" width="11.1796875" customWidth="1"/>
    <col min="4" max="4" width="12" customWidth="1"/>
    <col min="5" max="5" width="11.81640625" customWidth="1"/>
    <col min="6" max="6" width="14" customWidth="1"/>
    <col min="7" max="7" width="12.7265625" bestFit="1" customWidth="1"/>
    <col min="8" max="8" width="9.26953125" customWidth="1"/>
    <col min="9" max="9" width="11.1796875" customWidth="1"/>
    <col min="10" max="10" width="17.36328125" customWidth="1"/>
    <col min="11" max="11" width="9.453125" bestFit="1" customWidth="1"/>
    <col min="12" max="16" width="10.453125" bestFit="1" customWidth="1"/>
  </cols>
  <sheetData>
    <row r="1" spans="1:17" ht="21" x14ac:dyDescent="0.5">
      <c r="A1" s="33" t="s">
        <v>24</v>
      </c>
      <c r="B1" s="33"/>
      <c r="C1" s="33"/>
      <c r="D1" s="33"/>
      <c r="E1" s="33"/>
      <c r="F1" s="33"/>
      <c r="G1" s="20"/>
      <c r="H1" s="20"/>
      <c r="I1" s="20"/>
      <c r="J1" s="20"/>
      <c r="K1" s="20"/>
      <c r="L1" s="20"/>
      <c r="M1" s="20"/>
      <c r="N1" s="20"/>
    </row>
    <row r="2" spans="1:17" x14ac:dyDescent="0.35">
      <c r="A2" s="4" t="s">
        <v>22</v>
      </c>
      <c r="B2" s="4" t="s">
        <v>1</v>
      </c>
      <c r="C2" s="23" t="s">
        <v>23</v>
      </c>
      <c r="D2" s="23" t="s">
        <v>58</v>
      </c>
      <c r="E2" s="23" t="s">
        <v>61</v>
      </c>
      <c r="F2" s="23" t="s">
        <v>62</v>
      </c>
      <c r="G2" s="23" t="s">
        <v>74</v>
      </c>
      <c r="H2" s="23" t="s">
        <v>76</v>
      </c>
      <c r="I2" s="23" t="s">
        <v>77</v>
      </c>
      <c r="J2" s="23" t="s">
        <v>82</v>
      </c>
      <c r="K2" s="23" t="s">
        <v>25</v>
      </c>
      <c r="L2" s="23" t="s">
        <v>26</v>
      </c>
      <c r="M2" s="23" t="s">
        <v>27</v>
      </c>
      <c r="N2" s="23" t="s">
        <v>28</v>
      </c>
      <c r="O2" s="23" t="s">
        <v>29</v>
      </c>
      <c r="P2" s="23" t="s">
        <v>30</v>
      </c>
      <c r="Q2" s="23" t="s">
        <v>20</v>
      </c>
    </row>
    <row r="3" spans="1:17" x14ac:dyDescent="0.35">
      <c r="A3" s="4">
        <v>1</v>
      </c>
      <c r="B3" s="4" t="s">
        <v>2</v>
      </c>
      <c r="C3" s="6">
        <v>10</v>
      </c>
      <c r="D3" s="6">
        <v>10</v>
      </c>
      <c r="E3" s="6">
        <v>10</v>
      </c>
      <c r="F3" s="6">
        <v>10</v>
      </c>
      <c r="G3" s="6">
        <v>10</v>
      </c>
      <c r="H3" s="6">
        <v>10</v>
      </c>
      <c r="I3" s="6">
        <v>10</v>
      </c>
      <c r="J3" s="6">
        <v>10</v>
      </c>
      <c r="K3" s="6"/>
      <c r="L3" s="6"/>
      <c r="M3" s="6"/>
      <c r="N3" s="6"/>
      <c r="O3" s="6"/>
      <c r="P3" s="6"/>
      <c r="Q3" s="27">
        <f>SUM(League_Paymenst_2026[[#This Row],[23/01/2026]:[Week14]])</f>
        <v>80</v>
      </c>
    </row>
    <row r="4" spans="1:17" x14ac:dyDescent="0.35">
      <c r="A4" s="4">
        <v>2</v>
      </c>
      <c r="B4" s="4" t="s">
        <v>3</v>
      </c>
      <c r="C4" s="6">
        <v>10</v>
      </c>
      <c r="D4" s="6">
        <v>10</v>
      </c>
      <c r="E4" s="6">
        <v>10</v>
      </c>
      <c r="F4" s="6">
        <v>10</v>
      </c>
      <c r="G4" s="6"/>
      <c r="H4" s="6"/>
      <c r="I4" s="6">
        <v>10</v>
      </c>
      <c r="J4" s="6">
        <v>10</v>
      </c>
      <c r="K4" s="6"/>
      <c r="L4" s="6"/>
      <c r="M4" s="6"/>
      <c r="N4" s="6"/>
      <c r="O4" s="6"/>
      <c r="P4" s="6"/>
      <c r="Q4" s="27">
        <f>SUM(League_Paymenst_2026[[#This Row],[23/01/2026]:[Week14]])</f>
        <v>60</v>
      </c>
    </row>
    <row r="5" spans="1:17" x14ac:dyDescent="0.35">
      <c r="A5" s="4">
        <v>3</v>
      </c>
      <c r="B5" s="4" t="s">
        <v>4</v>
      </c>
      <c r="C5" s="6">
        <v>10</v>
      </c>
      <c r="D5" s="6">
        <v>10</v>
      </c>
      <c r="E5" s="6">
        <v>10</v>
      </c>
      <c r="F5" s="6"/>
      <c r="G5" s="6"/>
      <c r="H5" s="6">
        <v>20</v>
      </c>
      <c r="I5" s="6">
        <v>20</v>
      </c>
      <c r="J5" s="6"/>
      <c r="K5" s="6"/>
      <c r="L5" s="6"/>
      <c r="M5" s="6"/>
      <c r="N5" s="6"/>
      <c r="O5" s="6"/>
      <c r="P5" s="6"/>
      <c r="Q5" s="27">
        <f>SUM(League_Paymenst_2026[[#This Row],[23/01/2026]:[Week14]])</f>
        <v>70</v>
      </c>
    </row>
    <row r="6" spans="1:17" hidden="1" x14ac:dyDescent="0.35">
      <c r="A6" s="4">
        <v>4</v>
      </c>
      <c r="B6" s="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27">
        <f>SUM(League_Paymenst_2026[[#This Row],[23/01/2026]:[Week14]])</f>
        <v>0</v>
      </c>
    </row>
    <row r="7" spans="1:17" x14ac:dyDescent="0.35">
      <c r="A7" s="4">
        <v>5</v>
      </c>
      <c r="B7" s="4" t="s">
        <v>6</v>
      </c>
      <c r="C7" s="6">
        <v>10</v>
      </c>
      <c r="D7" s="6">
        <v>10</v>
      </c>
      <c r="E7" s="6">
        <v>10</v>
      </c>
      <c r="F7" s="6">
        <v>10</v>
      </c>
      <c r="G7" s="6"/>
      <c r="H7" s="6">
        <v>10</v>
      </c>
      <c r="I7" s="6">
        <v>10</v>
      </c>
      <c r="J7" s="6">
        <v>10</v>
      </c>
      <c r="K7" s="6"/>
      <c r="L7" s="6"/>
      <c r="M7" s="6"/>
      <c r="N7" s="6"/>
      <c r="O7" s="6"/>
      <c r="P7" s="6"/>
      <c r="Q7" s="27">
        <f>SUM(League_Paymenst_2026[[#This Row],[23/01/2026]:[Week14]])</f>
        <v>70</v>
      </c>
    </row>
    <row r="8" spans="1:17" x14ac:dyDescent="0.35">
      <c r="A8" s="4">
        <v>6</v>
      </c>
      <c r="B8" s="4" t="s">
        <v>7</v>
      </c>
      <c r="C8" s="6">
        <v>10</v>
      </c>
      <c r="D8" s="6">
        <v>10</v>
      </c>
      <c r="E8" s="6">
        <v>10</v>
      </c>
      <c r="F8" s="6">
        <v>10</v>
      </c>
      <c r="G8" s="6">
        <v>10</v>
      </c>
      <c r="H8" s="6"/>
      <c r="I8" s="6">
        <v>10</v>
      </c>
      <c r="J8" s="6">
        <v>10</v>
      </c>
      <c r="K8" s="6"/>
      <c r="L8" s="6"/>
      <c r="M8" s="6"/>
      <c r="N8" s="6"/>
      <c r="O8" s="6"/>
      <c r="P8" s="6"/>
      <c r="Q8" s="27">
        <f>SUM(League_Paymenst_2026[[#This Row],[23/01/2026]:[Week14]])</f>
        <v>70</v>
      </c>
    </row>
    <row r="9" spans="1:17" x14ac:dyDescent="0.35">
      <c r="A9" s="4">
        <v>7</v>
      </c>
      <c r="B9" s="4" t="s">
        <v>8</v>
      </c>
      <c r="C9" s="6"/>
      <c r="D9" s="6"/>
      <c r="E9" s="6">
        <v>10</v>
      </c>
      <c r="F9" s="6">
        <v>10</v>
      </c>
      <c r="G9" s="6">
        <v>10</v>
      </c>
      <c r="H9" s="6">
        <v>10</v>
      </c>
      <c r="I9" s="6">
        <v>10</v>
      </c>
      <c r="J9" s="6"/>
      <c r="K9" s="6"/>
      <c r="L9" s="6"/>
      <c r="M9" s="6"/>
      <c r="N9" s="6"/>
      <c r="O9" s="6"/>
      <c r="P9" s="6"/>
      <c r="Q9" s="27">
        <f>SUM(League_Paymenst_2026[[#This Row],[23/01/2026]:[Week14]])</f>
        <v>50</v>
      </c>
    </row>
    <row r="10" spans="1:17" x14ac:dyDescent="0.35">
      <c r="A10" s="4">
        <v>8</v>
      </c>
      <c r="B10" s="4" t="s">
        <v>9</v>
      </c>
      <c r="C10" s="6">
        <v>10</v>
      </c>
      <c r="D10" s="6">
        <v>10</v>
      </c>
      <c r="E10" s="6"/>
      <c r="F10" s="6">
        <v>10</v>
      </c>
      <c r="G10" s="6"/>
      <c r="H10" s="6"/>
      <c r="I10" s="6"/>
      <c r="J10" s="6">
        <v>10</v>
      </c>
      <c r="K10" s="6"/>
      <c r="L10" s="6"/>
      <c r="M10" s="6"/>
      <c r="N10" s="6"/>
      <c r="O10" s="6"/>
      <c r="P10" s="6"/>
      <c r="Q10" s="27">
        <f>SUM(League_Paymenst_2026[[#This Row],[23/01/2026]:[Week14]])</f>
        <v>40</v>
      </c>
    </row>
    <row r="11" spans="1:17" hidden="1" x14ac:dyDescent="0.35">
      <c r="A11" s="25">
        <v>9</v>
      </c>
      <c r="B11" s="25" t="s">
        <v>10</v>
      </c>
      <c r="C11" s="26"/>
      <c r="D11" s="26"/>
      <c r="E11" s="26"/>
      <c r="F11" s="26"/>
      <c r="G11" s="26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3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35">
      <c r="A13" s="4">
        <v>11</v>
      </c>
      <c r="B13" s="4" t="s">
        <v>12</v>
      </c>
      <c r="C13" s="6">
        <v>10</v>
      </c>
      <c r="D13" s="6">
        <v>10</v>
      </c>
      <c r="E13" s="6">
        <v>10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27">
        <f>SUM(League_Paymenst_2026[[#This Row],[23/01/2026]:[Week14]])</f>
        <v>30</v>
      </c>
    </row>
    <row r="14" spans="1:17" x14ac:dyDescent="0.35">
      <c r="A14" s="4">
        <v>12</v>
      </c>
      <c r="B14" s="4" t="s">
        <v>19</v>
      </c>
      <c r="C14" s="6"/>
      <c r="D14" s="6"/>
      <c r="E14" s="6">
        <v>10</v>
      </c>
      <c r="F14" s="6"/>
      <c r="G14" s="6">
        <v>10</v>
      </c>
      <c r="H14" s="6">
        <v>10</v>
      </c>
      <c r="I14" s="6"/>
      <c r="J14" s="6"/>
      <c r="K14" s="6"/>
      <c r="L14" s="6"/>
      <c r="M14" s="6"/>
      <c r="N14" s="6"/>
      <c r="O14" s="6"/>
      <c r="P14" s="6"/>
      <c r="Q14" s="27">
        <f>SUM(League_Paymenst_2026[[#This Row],[23/01/2026]:[Week14]])</f>
        <v>30</v>
      </c>
    </row>
    <row r="15" spans="1:17" x14ac:dyDescent="0.35">
      <c r="A15" s="4" t="s">
        <v>20</v>
      </c>
      <c r="B15" s="4"/>
      <c r="C15" s="24">
        <f>SUBTOTAL(109,League_Paymenst_2026[23/01/2026])</f>
        <v>70</v>
      </c>
      <c r="D15" s="24">
        <f>SUBTOTAL(109,League_Paymenst_2026[13/02/2026])</f>
        <v>70</v>
      </c>
      <c r="E15" s="24">
        <f>SUBTOTAL(109,League_Paymenst_2026[06/03/2026])</f>
        <v>80</v>
      </c>
      <c r="F15" s="24">
        <f>SUBTOTAL(109,League_Paymenst_2026[03/04/2026])</f>
        <v>60</v>
      </c>
      <c r="G15" s="24">
        <f>SUBTOTAL(109,League_Paymenst_2026[23/04/2026])</f>
        <v>40</v>
      </c>
      <c r="H15" s="24">
        <f>SUBTOTAL(109,League_Paymenst_2026[22/05/2026])</f>
        <v>60</v>
      </c>
      <c r="I15" s="24">
        <f>SUBTOTAL(109,League_Paymenst_2026[12/06/2026])</f>
        <v>70</v>
      </c>
      <c r="J15" s="24">
        <f>SUBTOTAL(109,League_Paymenst_2026[17/07/2026])</f>
        <v>50</v>
      </c>
      <c r="K15" s="24">
        <f>SUBTOTAL(109,League_Paymenst_2026[Week9])</f>
        <v>0</v>
      </c>
      <c r="L15" s="24">
        <f>SUBTOTAL(109,League_Paymenst_2026[Week10])</f>
        <v>0</v>
      </c>
      <c r="M15" s="24">
        <f>SUBTOTAL(109,League_Paymenst_2026[Week11])</f>
        <v>0</v>
      </c>
      <c r="N15" s="24">
        <f>SUBTOTAL(109,League_Paymenst_2026[Week12])</f>
        <v>0</v>
      </c>
      <c r="O15" s="24">
        <f>SUBTOTAL(109,League_Paymenst_2026[Week13])</f>
        <v>0</v>
      </c>
      <c r="P15" s="24">
        <f>SUBTOTAL(109,League_Paymenst_2026[Week14])</f>
        <v>0</v>
      </c>
      <c r="Q15" s="24">
        <f>SUBTOTAL(109,League_Paymenst_2026[Total])</f>
        <v>500</v>
      </c>
    </row>
    <row r="16" spans="1:17" x14ac:dyDescent="0.35">
      <c r="A16" t="s">
        <v>51</v>
      </c>
    </row>
    <row r="17" spans="1:7" x14ac:dyDescent="0.35">
      <c r="A17" t="s">
        <v>51</v>
      </c>
    </row>
    <row r="18" spans="1:7" x14ac:dyDescent="0.35">
      <c r="A18" t="s">
        <v>51</v>
      </c>
    </row>
    <row r="19" spans="1:7" x14ac:dyDescent="0.35">
      <c r="A19" s="32" t="s">
        <v>55</v>
      </c>
      <c r="B19" s="32"/>
      <c r="C19" s="32"/>
      <c r="D19" s="32"/>
      <c r="E19" s="32"/>
      <c r="F19" s="12">
        <v>46220</v>
      </c>
      <c r="G19" s="12"/>
    </row>
    <row r="20" spans="1:7" ht="29" x14ac:dyDescent="0.35">
      <c r="A20" s="28" t="s">
        <v>22</v>
      </c>
      <c r="B20" s="28" t="s">
        <v>1</v>
      </c>
      <c r="C20" s="29" t="s">
        <v>15</v>
      </c>
      <c r="D20" s="29" t="s">
        <v>16</v>
      </c>
      <c r="E20" s="29" t="s">
        <v>56</v>
      </c>
      <c r="F20" s="29" t="s">
        <v>57</v>
      </c>
    </row>
    <row r="21" spans="1:7" x14ac:dyDescent="0.35">
      <c r="A21" s="21">
        <v>1</v>
      </c>
      <c r="B21" s="21" t="s">
        <v>2</v>
      </c>
      <c r="C21" s="22"/>
      <c r="D21" s="22"/>
      <c r="E21" s="22"/>
      <c r="F21" s="22"/>
    </row>
    <row r="22" spans="1:7" x14ac:dyDescent="0.35">
      <c r="A22" s="4">
        <v>2</v>
      </c>
      <c r="B22" s="4" t="s">
        <v>3</v>
      </c>
      <c r="C22" s="6"/>
      <c r="D22" s="6"/>
      <c r="E22" s="6"/>
      <c r="F22" s="6"/>
    </row>
    <row r="23" spans="1:7" x14ac:dyDescent="0.35">
      <c r="A23" s="21">
        <v>3</v>
      </c>
      <c r="B23" s="21" t="s">
        <v>4</v>
      </c>
      <c r="C23" s="22"/>
      <c r="D23" s="22"/>
      <c r="E23" s="22"/>
      <c r="F23" s="22"/>
    </row>
    <row r="24" spans="1:7" x14ac:dyDescent="0.35">
      <c r="A24" s="4">
        <v>4</v>
      </c>
      <c r="B24" s="4" t="s">
        <v>5</v>
      </c>
      <c r="C24" s="6"/>
      <c r="D24" s="6"/>
      <c r="E24" s="6"/>
      <c r="F24" s="6"/>
    </row>
    <row r="25" spans="1:7" x14ac:dyDescent="0.35">
      <c r="A25" s="21">
        <v>5</v>
      </c>
      <c r="B25" s="21" t="s">
        <v>6</v>
      </c>
      <c r="C25" s="22"/>
      <c r="D25" s="22"/>
      <c r="E25" s="22"/>
      <c r="F25" s="22"/>
    </row>
    <row r="26" spans="1:7" x14ac:dyDescent="0.35">
      <c r="A26" s="4">
        <v>6</v>
      </c>
      <c r="B26" s="4" t="s">
        <v>7</v>
      </c>
      <c r="C26" s="6"/>
      <c r="D26" s="6"/>
      <c r="E26" s="6"/>
      <c r="F26" s="6"/>
    </row>
    <row r="27" spans="1:7" x14ac:dyDescent="0.35">
      <c r="A27" s="21">
        <v>7</v>
      </c>
      <c r="B27" s="21" t="s">
        <v>8</v>
      </c>
      <c r="C27" s="22"/>
      <c r="D27" s="22"/>
      <c r="E27" s="22"/>
      <c r="F27" s="22"/>
    </row>
    <row r="28" spans="1:7" x14ac:dyDescent="0.35">
      <c r="A28" s="4">
        <v>8</v>
      </c>
      <c r="B28" s="4" t="s">
        <v>9</v>
      </c>
      <c r="C28" s="6"/>
      <c r="D28" s="6"/>
      <c r="E28" s="6"/>
      <c r="F28" s="6"/>
    </row>
    <row r="29" spans="1:7" x14ac:dyDescent="0.35">
      <c r="A29" s="21">
        <v>9</v>
      </c>
      <c r="B29" s="21" t="s">
        <v>10</v>
      </c>
      <c r="C29" s="22"/>
      <c r="D29" s="22"/>
      <c r="E29" s="22"/>
      <c r="F29" s="22"/>
    </row>
    <row r="30" spans="1:7" x14ac:dyDescent="0.35">
      <c r="A30" s="21">
        <v>11</v>
      </c>
      <c r="B30" s="21" t="s">
        <v>12</v>
      </c>
      <c r="C30" s="22"/>
      <c r="D30" s="22"/>
      <c r="E30" s="22"/>
      <c r="F30" s="22"/>
    </row>
    <row r="31" spans="1:7" x14ac:dyDescent="0.35">
      <c r="A31" s="4">
        <v>12</v>
      </c>
      <c r="B31" s="4" t="s">
        <v>19</v>
      </c>
      <c r="C31" s="6"/>
      <c r="D31" s="6"/>
      <c r="E31" s="6"/>
      <c r="F31" s="6"/>
    </row>
    <row r="32" spans="1:7" x14ac:dyDescent="0.35">
      <c r="A32" t="s">
        <v>51</v>
      </c>
    </row>
    <row r="33" spans="1:2" x14ac:dyDescent="0.35">
      <c r="A33" t="s">
        <v>51</v>
      </c>
    </row>
    <row r="34" spans="1:2" hidden="1" x14ac:dyDescent="0.35"/>
    <row r="35" spans="1:2" hidden="1" x14ac:dyDescent="0.35"/>
    <row r="40" spans="1:2" x14ac:dyDescent="0.35">
      <c r="A40" s="3" t="s">
        <v>39</v>
      </c>
      <c r="B40" s="4" t="s">
        <v>60</v>
      </c>
    </row>
    <row r="41" spans="1:2" x14ac:dyDescent="0.35">
      <c r="A41" s="5" t="s">
        <v>2</v>
      </c>
      <c r="B41" s="6">
        <v>80</v>
      </c>
    </row>
    <row r="42" spans="1:2" x14ac:dyDescent="0.35">
      <c r="A42" s="5" t="s">
        <v>6</v>
      </c>
      <c r="B42" s="6">
        <v>70</v>
      </c>
    </row>
    <row r="43" spans="1:2" x14ac:dyDescent="0.35">
      <c r="A43" s="5" t="s">
        <v>4</v>
      </c>
      <c r="B43" s="6">
        <v>70</v>
      </c>
    </row>
    <row r="44" spans="1:2" x14ac:dyDescent="0.35">
      <c r="A44" s="5" t="s">
        <v>7</v>
      </c>
      <c r="B44" s="6">
        <v>70</v>
      </c>
    </row>
    <row r="45" spans="1:2" x14ac:dyDescent="0.35">
      <c r="A45" s="5" t="s">
        <v>3</v>
      </c>
      <c r="B45" s="6">
        <v>60</v>
      </c>
    </row>
    <row r="46" spans="1:2" x14ac:dyDescent="0.35">
      <c r="A46" s="5" t="s">
        <v>8</v>
      </c>
      <c r="B46" s="6">
        <v>50</v>
      </c>
    </row>
    <row r="47" spans="1:2" x14ac:dyDescent="0.35">
      <c r="A47" s="5" t="s">
        <v>9</v>
      </c>
      <c r="B47" s="6">
        <v>40</v>
      </c>
    </row>
    <row r="48" spans="1:2" x14ac:dyDescent="0.35">
      <c r="A48" s="5" t="s">
        <v>19</v>
      </c>
      <c r="B48" s="6">
        <v>30</v>
      </c>
    </row>
    <row r="49" spans="1:4" x14ac:dyDescent="0.35">
      <c r="A49" s="5" t="s">
        <v>12</v>
      </c>
      <c r="B49" s="6">
        <v>30</v>
      </c>
    </row>
    <row r="50" spans="1:4" x14ac:dyDescent="0.35">
      <c r="A50" s="5" t="s">
        <v>18</v>
      </c>
      <c r="B50" s="6">
        <v>500</v>
      </c>
    </row>
    <row r="51" spans="1:4" x14ac:dyDescent="0.35">
      <c r="A51" s="13" t="s">
        <v>51</v>
      </c>
    </row>
    <row r="52" spans="1:4" x14ac:dyDescent="0.35">
      <c r="A52" s="13" t="s">
        <v>51</v>
      </c>
    </row>
    <row r="53" spans="1:4" x14ac:dyDescent="0.35">
      <c r="A53" s="13" t="s">
        <v>51</v>
      </c>
    </row>
    <row r="54" spans="1:4" x14ac:dyDescent="0.35">
      <c r="A54" s="18" t="s">
        <v>73</v>
      </c>
      <c r="C54" s="1"/>
      <c r="D54" s="1">
        <v>900</v>
      </c>
    </row>
    <row r="55" spans="1:4" x14ac:dyDescent="0.35">
      <c r="A55" s="14" t="s">
        <v>64</v>
      </c>
      <c r="B55" s="19">
        <v>0.15</v>
      </c>
      <c r="C55" s="1">
        <f>ROUND($D$54*B55,0)</f>
        <v>135</v>
      </c>
      <c r="D55" s="1"/>
    </row>
    <row r="56" spans="1:4" x14ac:dyDescent="0.35">
      <c r="A56" s="14" t="s">
        <v>63</v>
      </c>
      <c r="B56" s="19">
        <v>0.25</v>
      </c>
      <c r="C56" s="1">
        <f t="shared" ref="C56:C64" si="0">ROUND($D$54*B56,0)</f>
        <v>225</v>
      </c>
      <c r="D56" s="1"/>
    </row>
    <row r="57" spans="1:4" x14ac:dyDescent="0.35">
      <c r="A57" s="9" t="s">
        <v>65</v>
      </c>
      <c r="B57" s="19">
        <v>0.15</v>
      </c>
      <c r="C57" s="1">
        <f t="shared" si="0"/>
        <v>135</v>
      </c>
      <c r="D57" s="1"/>
    </row>
    <row r="58" spans="1:4" x14ac:dyDescent="0.35">
      <c r="A58" s="9" t="s">
        <v>66</v>
      </c>
      <c r="B58" s="19">
        <v>0.12</v>
      </c>
      <c r="C58" s="1">
        <f t="shared" si="0"/>
        <v>108</v>
      </c>
      <c r="D58" s="1"/>
    </row>
    <row r="59" spans="1:4" x14ac:dyDescent="0.35">
      <c r="A59" s="9" t="s">
        <v>67</v>
      </c>
      <c r="B59" s="19">
        <v>0.08</v>
      </c>
      <c r="C59" s="1">
        <f t="shared" si="0"/>
        <v>72</v>
      </c>
      <c r="D59" s="1"/>
    </row>
    <row r="60" spans="1:4" x14ac:dyDescent="0.35">
      <c r="A60" s="9" t="s">
        <v>68</v>
      </c>
      <c r="B60" s="19">
        <v>7.0000000000000007E-2</v>
      </c>
      <c r="C60" s="1">
        <f t="shared" si="0"/>
        <v>63</v>
      </c>
      <c r="D60" s="1"/>
    </row>
    <row r="61" spans="1:4" x14ac:dyDescent="0.35">
      <c r="A61" s="9" t="s">
        <v>69</v>
      </c>
      <c r="B61" s="19">
        <v>0.06</v>
      </c>
      <c r="C61" s="1">
        <f t="shared" si="0"/>
        <v>54</v>
      </c>
      <c r="D61" s="1"/>
    </row>
    <row r="62" spans="1:4" x14ac:dyDescent="0.35">
      <c r="A62" s="9" t="s">
        <v>70</v>
      </c>
      <c r="B62" s="19">
        <v>0.05</v>
      </c>
      <c r="C62" s="1">
        <f t="shared" si="0"/>
        <v>45</v>
      </c>
      <c r="D62" s="1"/>
    </row>
    <row r="63" spans="1:4" x14ac:dyDescent="0.35">
      <c r="A63" s="9" t="s">
        <v>71</v>
      </c>
      <c r="B63" s="19">
        <v>0.04</v>
      </c>
      <c r="C63" s="1">
        <f t="shared" si="0"/>
        <v>36</v>
      </c>
      <c r="D63" s="1"/>
    </row>
    <row r="64" spans="1:4" x14ac:dyDescent="0.35">
      <c r="A64" s="9" t="s">
        <v>72</v>
      </c>
      <c r="B64" s="19">
        <v>0.03</v>
      </c>
      <c r="C64" s="1">
        <f t="shared" si="0"/>
        <v>27</v>
      </c>
      <c r="D64" s="1"/>
    </row>
    <row r="65" spans="1:4" ht="15" thickBot="1" x14ac:dyDescent="0.4">
      <c r="A65" s="15" t="s">
        <v>20</v>
      </c>
      <c r="B65" s="16">
        <f>SUM(B55:B64)</f>
        <v>1.0000000000000002</v>
      </c>
      <c r="C65" s="17">
        <f>SUM(C54:C64)</f>
        <v>900</v>
      </c>
      <c r="D65" s="17">
        <f>SUM(D54:D64)</f>
        <v>900</v>
      </c>
    </row>
    <row r="66" spans="1:4" ht="15" thickTop="1" x14ac:dyDescent="0.3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scale="53" orientation="landscape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067AED0F-322C-4C88-A1DC-251216C822D1}">
  <ds:schemaRefs/>
</ds:datastoreItem>
</file>

<file path=customXml/itemProps2.xml><?xml version="1.0" encoding="utf-8"?>
<ds:datastoreItem xmlns:ds="http://schemas.openxmlformats.org/officeDocument/2006/customXml" ds:itemID="{2972A693-C4F0-4880-9781-DC7E5D6A041D}">
  <ds:schemaRefs/>
</ds:datastoreItem>
</file>

<file path=customXml/itemProps3.xml><?xml version="1.0" encoding="utf-8"?>
<ds:datastoreItem xmlns:ds="http://schemas.openxmlformats.org/officeDocument/2006/customXml" ds:itemID="{06A11BA8-1329-4F17-A6F7-16AC81B74ED4}">
  <ds:schemaRefs/>
</ds:datastoreItem>
</file>

<file path=customXml/itemProps4.xml><?xml version="1.0" encoding="utf-8"?>
<ds:datastoreItem xmlns:ds="http://schemas.openxmlformats.org/officeDocument/2006/customXml" ds:itemID="{2F4BB44D-B04B-4844-B683-967284BB8461}">
  <ds:schemaRefs/>
</ds:datastoreItem>
</file>

<file path=customXml/itemProps5.xml><?xml version="1.0" encoding="utf-8"?>
<ds:datastoreItem xmlns:ds="http://schemas.openxmlformats.org/officeDocument/2006/customXml" ds:itemID="{4D314463-8023-4F3A-8599-8241F0D69926}">
  <ds:schemaRefs/>
</ds:datastoreItem>
</file>

<file path=customXml/itemProps6.xml><?xml version="1.0" encoding="utf-8"?>
<ds:datastoreItem xmlns:ds="http://schemas.openxmlformats.org/officeDocument/2006/customXml" ds:itemID="{FBBDE3C3-9053-47A8-A22F-82A29F4B503F}">
  <ds:schemaRefs/>
</ds:datastoreItem>
</file>

<file path=customXml/itemProps7.xml><?xml version="1.0" encoding="utf-8"?>
<ds:datastoreItem xmlns:ds="http://schemas.openxmlformats.org/officeDocument/2006/customXml" ds:itemID="{82475354-C2A8-4616-AB43-AAAB42D46DD0}">
  <ds:schemaRefs/>
</ds:datastoreItem>
</file>

<file path=customXml/itemProps8.xml><?xml version="1.0" encoding="utf-8"?>
<ds:datastoreItem xmlns:ds="http://schemas.openxmlformats.org/officeDocument/2006/customXml" ds:itemID="{AF752C8A-BF7C-46A3-ABB5-D2E379A5FC7B}">
  <ds:schemaRefs/>
</ds:datastoreItem>
</file>

<file path=customXml/itemProps9.xml><?xml version="1.0" encoding="utf-8"?>
<ds:datastoreItem xmlns:ds="http://schemas.openxmlformats.org/officeDocument/2006/customXml" ds:itemID="{69E76DC4-83E5-4FEB-860C-2098AEFB3AB5}">
  <ds:schemaRefs/>
</ds:datastoreItem>
</file>

<file path=customXml/itemProps10.xml><?xml version="1.0" encoding="utf-8"?>
<ds:datastoreItem xmlns:ds="http://schemas.openxmlformats.org/officeDocument/2006/customXml" ds:itemID="{034E5C8F-6514-4C58-A8AC-82B3EFB66862}">
  <ds:schemaRefs/>
</ds:datastoreItem>
</file>

<file path=customXml/itemProps11.xml><?xml version="1.0" encoding="utf-8"?>
<ds:datastoreItem xmlns:ds="http://schemas.openxmlformats.org/officeDocument/2006/customXml" ds:itemID="{534E0537-260A-47D8-9B31-6F3E5E1625A4}">
  <ds:schemaRefs/>
</ds:datastoreItem>
</file>

<file path=customXml/itemProps12.xml><?xml version="1.0" encoding="utf-8"?>
<ds:datastoreItem xmlns:ds="http://schemas.openxmlformats.org/officeDocument/2006/customXml" ds:itemID="{2D74CA01-5400-4070-B86B-A7440D4EB1B4}">
  <ds:schemaRefs/>
</ds:datastoreItem>
</file>

<file path=customXml/itemProps13.xml><?xml version="1.0" encoding="utf-8"?>
<ds:datastoreItem xmlns:ds="http://schemas.openxmlformats.org/officeDocument/2006/customXml" ds:itemID="{1BA5F112-4790-4B65-958B-75C2A6CE24AD}">
  <ds:schemaRefs/>
</ds:datastoreItem>
</file>

<file path=customXml/itemProps14.xml><?xml version="1.0" encoding="utf-8"?>
<ds:datastoreItem xmlns:ds="http://schemas.openxmlformats.org/officeDocument/2006/customXml" ds:itemID="{E4DD822A-4163-4CD9-A0D7-B0A83C19D36C}">
  <ds:schemaRefs/>
</ds:datastoreItem>
</file>

<file path=customXml/itemProps15.xml><?xml version="1.0" encoding="utf-8"?>
<ds:datastoreItem xmlns:ds="http://schemas.openxmlformats.org/officeDocument/2006/customXml" ds:itemID="{64E0011E-01AE-4F2E-AFAD-990D974B5E40}">
  <ds:schemaRefs/>
</ds:datastoreItem>
</file>

<file path=customXml/itemProps16.xml><?xml version="1.0" encoding="utf-8"?>
<ds:datastoreItem xmlns:ds="http://schemas.openxmlformats.org/officeDocument/2006/customXml" ds:itemID="{25DAB5BB-2442-4C8B-AF8C-95CFB1293560}">
  <ds:schemaRefs/>
</ds:datastoreItem>
</file>

<file path=customXml/itemProps17.xml><?xml version="1.0" encoding="utf-8"?>
<ds:datastoreItem xmlns:ds="http://schemas.openxmlformats.org/officeDocument/2006/customXml" ds:itemID="{FDD54331-5D19-4142-9CFD-1D20EC667862}">
  <ds:schemaRefs/>
</ds:datastoreItem>
</file>

<file path=customXml/itemProps18.xml><?xml version="1.0" encoding="utf-8"?>
<ds:datastoreItem xmlns:ds="http://schemas.openxmlformats.org/officeDocument/2006/customXml" ds:itemID="{A39C1A00-9E39-434B-8813-5DE9E907C703}">
  <ds:schemaRefs/>
</ds:datastoreItem>
</file>

<file path=customXml/itemProps19.xml><?xml version="1.0" encoding="utf-8"?>
<ds:datastoreItem xmlns:ds="http://schemas.openxmlformats.org/officeDocument/2006/customXml" ds:itemID="{46AE28DB-5478-43A1-9457-C9BB11E0CBD9}">
  <ds:schemaRefs/>
</ds:datastoreItem>
</file>

<file path=customXml/itemProps20.xml><?xml version="1.0" encoding="utf-8"?>
<ds:datastoreItem xmlns:ds="http://schemas.openxmlformats.org/officeDocument/2006/customXml" ds:itemID="{0A3F4356-214C-45A2-9257-1D03F9442F4C}">
  <ds:schemaRefs/>
</ds:datastoreItem>
</file>

<file path=customXml/itemProps21.xml><?xml version="1.0" encoding="utf-8"?>
<ds:datastoreItem xmlns:ds="http://schemas.openxmlformats.org/officeDocument/2006/customXml" ds:itemID="{6DED8B6B-928E-472A-85EF-51D6AC32C004}">
  <ds:schemaRefs/>
</ds:datastoreItem>
</file>

<file path=customXml/itemProps22.xml><?xml version="1.0" encoding="utf-8"?>
<ds:datastoreItem xmlns:ds="http://schemas.openxmlformats.org/officeDocument/2006/customXml" ds:itemID="{0EE5415C-A43E-4378-9145-9E975ACC02BB}">
  <ds:schemaRefs/>
</ds:datastoreItem>
</file>

<file path=customXml/itemProps23.xml><?xml version="1.0" encoding="utf-8"?>
<ds:datastoreItem xmlns:ds="http://schemas.openxmlformats.org/officeDocument/2006/customXml" ds:itemID="{20D7618C-F06D-438C-AC4E-D243BF483AAA}">
  <ds:schemaRefs/>
</ds:datastoreItem>
</file>

<file path=customXml/itemProps24.xml><?xml version="1.0" encoding="utf-8"?>
<ds:datastoreItem xmlns:ds="http://schemas.openxmlformats.org/officeDocument/2006/customXml" ds:itemID="{FE105424-D7BB-48EF-8C3F-50F4E71A69CF}">
  <ds:schemaRefs/>
</ds:datastoreItem>
</file>

<file path=customXml/itemProps25.xml><?xml version="1.0" encoding="utf-8"?>
<ds:datastoreItem xmlns:ds="http://schemas.openxmlformats.org/officeDocument/2006/customXml" ds:itemID="{0518F5C1-8FB8-45AC-920C-4D8603255090}">
  <ds:schemaRefs/>
</ds:datastoreItem>
</file>

<file path=customXml/itemProps26.xml><?xml version="1.0" encoding="utf-8"?>
<ds:datastoreItem xmlns:ds="http://schemas.openxmlformats.org/officeDocument/2006/customXml" ds:itemID="{A5CF9FA9-098B-40BF-9801-F69F0E7323F4}">
  <ds:schemaRefs/>
</ds:datastoreItem>
</file>

<file path=customXml/itemProps27.xml><?xml version="1.0" encoding="utf-8"?>
<ds:datastoreItem xmlns:ds="http://schemas.openxmlformats.org/officeDocument/2006/customXml" ds:itemID="{C894BA95-1995-400D-A208-11DC5B90D09E}">
  <ds:schemaRefs/>
</ds:datastoreItem>
</file>

<file path=customXml/itemProps28.xml><?xml version="1.0" encoding="utf-8"?>
<ds:datastoreItem xmlns:ds="http://schemas.openxmlformats.org/officeDocument/2006/customXml" ds:itemID="{399692C2-E30F-49D2-9780-6E4D69D49614}">
  <ds:schemaRefs/>
</ds:datastoreItem>
</file>

<file path=customXml/itemProps29.xml><?xml version="1.0" encoding="utf-8"?>
<ds:datastoreItem xmlns:ds="http://schemas.openxmlformats.org/officeDocument/2006/customXml" ds:itemID="{CCFF5B62-8AD9-4CCB-BAE6-7D2AFB42562E}">
  <ds:schemaRefs/>
</ds:datastoreItem>
</file>

<file path=customXml/itemProps30.xml><?xml version="1.0" encoding="utf-8"?>
<ds:datastoreItem xmlns:ds="http://schemas.openxmlformats.org/officeDocument/2006/customXml" ds:itemID="{0F87B7EE-CDFE-443D-B02B-87E5A6968740}">
  <ds:schemaRefs/>
</ds:datastoreItem>
</file>

<file path=customXml/itemProps31.xml><?xml version="1.0" encoding="utf-8"?>
<ds:datastoreItem xmlns:ds="http://schemas.openxmlformats.org/officeDocument/2006/customXml" ds:itemID="{0824CD4F-A66D-4C5E-806E-E88B8AEA06CB}">
  <ds:schemaRefs/>
</ds:datastoreItem>
</file>

<file path=customXml/itemProps32.xml><?xml version="1.0" encoding="utf-8"?>
<ds:datastoreItem xmlns:ds="http://schemas.openxmlformats.org/officeDocument/2006/customXml" ds:itemID="{C0513693-4CA5-440E-962D-8C69DD538F4A}">
  <ds:schemaRefs/>
</ds:datastoreItem>
</file>

<file path=customXml/itemProps33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qry_Player_Game_Stats_2026</vt:lpstr>
      <vt:lpstr>Top 10 per player for 2025 and </vt:lpstr>
      <vt:lpstr>Players Top 10 for 2026</vt:lpstr>
      <vt:lpstr>List of Cashouts per player for</vt:lpstr>
      <vt:lpstr>qry_Players</vt:lpstr>
      <vt:lpstr>qry_Player_Game_Stats</vt:lpstr>
      <vt:lpstr>qry_Game_Number</vt:lpstr>
      <vt:lpstr>Sum of ROI</vt:lpstr>
      <vt:lpstr>Champions League Payment 2026</vt:lpstr>
      <vt:lpstr>Chart AVG cash out</vt:lpstr>
      <vt:lpstr>Chart of League Points 2026</vt:lpstr>
      <vt:lpstr>Chart League Payments 2026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2026-07-12T17:38:10Z</cp:lastPrinted>
  <dcterms:created xsi:type="dcterms:W3CDTF">2026-01-03T10:30:32Z</dcterms:created>
  <dcterms:modified xsi:type="dcterms:W3CDTF">2026-07-18T10:31:45Z</dcterms:modified>
</cp:coreProperties>
</file>